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ice Calculator Prime Cruze Fa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<sst xmlns="http://schemas.openxmlformats.org/spreadsheetml/2006/main" uniqueCount="24">
  <si>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DISCOUNTED PRICE TABLES 2026</t>
  </si>
  <si>
    <t>Account Code:</t>
  </si>
  <si>
    <t>BLIN418</t>
  </si>
  <si>
    <t>Product</t>
  </si>
  <si>
    <t>Discount %</t>
  </si>
  <si>
    <t>Prime Cruze Fascia Softshade - A</t>
  </si>
  <si>
    <t>35%</t>
  </si>
  <si>
    <t>Prime Cruze Fascia Softshade - B</t>
  </si>
  <si>
    <t>Prime Cruze Fascia Softshade - D</t>
  </si>
  <si>
    <t>Adjust the values above to update the suggested sell price tables.</t>
  </si>
  <si>
    <t>DISCOUNTED COST</t>
  </si>
  <si>
    <t>SUGGESTED SELL PRICE</t>
  </si>
  <si>
    <t>Prime Cruze Fascia Softshade - Prime Cruze Fascia Softshade - 40mm Fascia - PRICE RANGE A</t>
  </si>
  <si>
    <t>WIDTH</t>
  </si>
  <si>
    <t>(mm)</t>
  </si>
  <si>
    <t>DROP</t>
  </si>
  <si>
    <t>Prime Cruze Fascia Softshade - Prime Cruze Fascia Softshade - 40mm Fascia - PRICE RANGE B</t>
  </si>
  <si>
    <t>Prime Cruze Fascia Softshade - Prime Cruze Fascia Softshade - 40mm Fascia - PRICE RANGE D</t>
  </si>
  <si>
    <t>Mark Up:</t>
  </si>
  <si>
    <t>VAT:</t>
  </si>
  <si>
    <t>Additional Charge:</t>
  </si>
  <si>
    <t>100.00%</t>
  </si>
  <si>
    <t>20%</t>
  </si>
  <si>
    <t>£ 0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</si>
</sst>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4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ebebe"/>
        <bgColor rgb="FFbebebe"/>
      </patternFill>
    </fill>
    <fill>
      <patternFill patternType="solid">
        <fgColor rgb="FF3C64B1"/>
        <bgColor rgb="FF3C64B1"/>
      </patternFill>
    </fill>
    <fill>
      <patternFill patternType="solid">
        <fgColor rgb="FFadc0e3"/>
        <bgColor rgb="FFadc0e3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center" textRotation="90" wrapText="true" shrinkToFit="false"/>
    </xf>
    <xf xfId="0" fontId="2" numFmtId="0" fillId="4" borderId="0" applyFont="1" applyNumberFormat="0" applyFill="1" applyBorder="0" applyAlignment="1">
      <alignment vertical="center" textRotation="90" wrapText="tru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5" borderId="0" applyFont="0" applyNumberFormat="0" applyFill="1" applyBorder="0" applyAlignment="1">
      <alignment vertical="bottom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5" numFmtId="0" fillId="2" borderId="0" applyFont="1" applyNumberFormat="0" applyFill="1" applyBorder="0" applyAlignment="1">
      <alignment vertical="bottom" textRotation="0" wrapText="true" shrinkToFit="false"/>
    </xf>
    <xf xfId="0" fontId="5" numFmtId="0" fillId="6" borderId="0" applyFont="1" applyNumberFormat="0" applyFill="1" applyBorder="0" applyAlignment="1">
      <alignment vertical="bottom" textRotation="0" wrapText="true" shrinkToFit="false"/>
    </xf>
    <xf xfId="0" fontId="5" numFmtId="9" fillId="6" borderId="0" applyFont="1" applyNumberFormat="1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9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30" customWidth="true" style="0"/>
    <col min="2" max="2" width="15" customWidth="true" style="0"/>
  </cols>
  <sheetData>
    <row r="1" spans="1:2">
      <c r="A1" s="1" t="s">
        <v>0</v>
      </c>
    </row>
    <row r="2" spans="1:2">
      <c r="A2" s="2" t="s">
        <v>1</v>
      </c>
      <c r="B2" s="3" t="s">
        <v>2</v>
      </c>
    </row>
    <row r="4" spans="1:2">
      <c r="A4" s="2" t="s">
        <v>3</v>
      </c>
      <c r="B4" s="2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6</v>
      </c>
    </row>
    <row r="7" spans="1:2">
      <c r="A7" s="3" t="s">
        <v>8</v>
      </c>
      <c r="B7" s="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11"/>
  <sheetViews>
    <sheetView tabSelected="0" workbookViewId="0" showGridLines="true" showRowColHeaders="1">
      <selection activeCell="A1" sqref="A1:BD111"/>
    </sheetView>
  </sheetViews>
  <sheetFormatPr defaultRowHeight="14.4" outlineLevelRow="0" outlineLevelCol="0"/>
  <cols>
    <col min="2" max="2" width="4" customWidth="true" style="0"/>
    <col min="29" max="29" width="28.279" bestFit="true" customWidth="true" style="0"/>
    <col min="30" max="30" width="11.711" bestFit="true" customWidth="true" style="0"/>
    <col min="33" max="33" width="4" customWidth="true" style="0"/>
    <col min="34" max="34" width="4" customWidth="true" style="0"/>
  </cols>
  <sheetData>
    <row r="1" spans="1:58">
      <c r="A1" s="8"/>
      <c r="B1" s="9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2" spans="1:58">
      <c r="A2" s="8"/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</row>
    <row r="3" spans="1:58">
      <c r="A3" s="8"/>
      <c r="B3" s="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</row>
    <row r="4" spans="1:58">
      <c r="A4" s="8"/>
      <c r="B4" s="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7" t="s">
        <v>1</v>
      </c>
      <c r="AD4" s="18" t="str">
        <f>Summary!$B$2</f>
        <v>0</v>
      </c>
      <c r="AE4" s="8"/>
      <c r="AF4" s="8"/>
      <c r="AG4" s="8"/>
      <c r="AH4" s="9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:58">
      <c r="A5" s="8"/>
      <c r="B5" s="9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7" t="s">
        <v>18</v>
      </c>
      <c r="AD5" s="19" t="s">
        <v>21</v>
      </c>
      <c r="AE5" s="8"/>
      <c r="AF5" s="8"/>
      <c r="AG5" s="8"/>
      <c r="AH5" s="9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spans="1:58">
      <c r="A6" s="8"/>
      <c r="B6" s="9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 t="s">
        <v>19</v>
      </c>
      <c r="AD6" s="19" t="s">
        <v>22</v>
      </c>
      <c r="AE6" s="8"/>
      <c r="AF6" s="8"/>
      <c r="AG6" s="8"/>
      <c r="AH6" s="9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</row>
    <row r="7" spans="1:58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 t="s">
        <v>20</v>
      </c>
      <c r="AD7" s="18" t="s">
        <v>23</v>
      </c>
      <c r="AE7" s="8"/>
      <c r="AF7" s="8"/>
      <c r="AG7" s="8"/>
      <c r="AH7" s="9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1:58">
      <c r="A8" s="8"/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6" t="s">
        <v>9</v>
      </c>
      <c r="AB8" s="16"/>
      <c r="AC8" s="16"/>
      <c r="AD8" s="16"/>
      <c r="AE8" s="16"/>
      <c r="AF8" s="16"/>
      <c r="AG8" s="20"/>
      <c r="AH8" s="20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1:58">
      <c r="A9" s="8"/>
      <c r="B9" s="9"/>
      <c r="C9" s="11" t="s">
        <v>10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8"/>
      <c r="AB9" s="8"/>
      <c r="AC9" s="8"/>
      <c r="AD9" s="8"/>
      <c r="AE9" s="8"/>
      <c r="AF9" s="8"/>
      <c r="AG9" s="9"/>
      <c r="AH9" s="9"/>
      <c r="AI9" s="11" t="s">
        <v>11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4"/>
      <c r="BF9" s="4"/>
    </row>
    <row r="10" spans="1:58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9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1:58">
      <c r="A11" s="8"/>
      <c r="B11" s="9"/>
      <c r="C11" s="12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8"/>
      <c r="AB11" s="8"/>
      <c r="AC11" s="8"/>
      <c r="AD11" s="8"/>
      <c r="AE11" s="8"/>
      <c r="AF11" s="8"/>
      <c r="AG11" s="9"/>
      <c r="AH11" s="9"/>
      <c r="AI11" s="12" t="s">
        <v>12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5"/>
      <c r="BF11" s="5"/>
    </row>
    <row r="12" spans="1:58">
      <c r="A12" s="8"/>
      <c r="B12" s="9"/>
      <c r="C12" s="12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8"/>
      <c r="AB12" s="8"/>
      <c r="AC12" s="8"/>
      <c r="AD12" s="8"/>
      <c r="AE12" s="8"/>
      <c r="AF12" s="8"/>
      <c r="AG12" s="9"/>
      <c r="AH12" s="9"/>
      <c r="AI12" s="12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5"/>
      <c r="BF12" s="5"/>
    </row>
    <row r="13" spans="1:58">
      <c r="A13" s="8"/>
      <c r="B13" s="9"/>
      <c r="C13" s="13" t="s">
        <v>13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8"/>
      <c r="AB13" s="8"/>
      <c r="AC13" s="8"/>
      <c r="AD13" s="8"/>
      <c r="AE13" s="8"/>
      <c r="AF13" s="8"/>
      <c r="AG13" s="9"/>
      <c r="AH13" s="9"/>
      <c r="AI13" s="13" t="s">
        <v>13</v>
      </c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6"/>
      <c r="BF13" s="6"/>
    </row>
    <row r="14" spans="1:58">
      <c r="A14" s="8"/>
      <c r="B14" s="10"/>
      <c r="C14" s="14" t="s">
        <v>14</v>
      </c>
      <c r="D14" s="14">
        <v>300</v>
      </c>
      <c r="E14" s="14">
        <v>400</v>
      </c>
      <c r="F14" s="14">
        <v>500</v>
      </c>
      <c r="G14" s="14">
        <v>600</v>
      </c>
      <c r="H14" s="14">
        <v>700</v>
      </c>
      <c r="I14" s="14">
        <v>800</v>
      </c>
      <c r="J14" s="14">
        <v>900</v>
      </c>
      <c r="K14" s="14">
        <v>1000</v>
      </c>
      <c r="L14" s="14">
        <v>1100</v>
      </c>
      <c r="M14" s="14">
        <v>1200</v>
      </c>
      <c r="N14" s="14">
        <v>1300</v>
      </c>
      <c r="O14" s="14">
        <v>1400</v>
      </c>
      <c r="P14" s="14">
        <v>1500</v>
      </c>
      <c r="Q14" s="14">
        <v>1600</v>
      </c>
      <c r="R14" s="14">
        <v>1700</v>
      </c>
      <c r="S14" s="14">
        <v>1800</v>
      </c>
      <c r="T14" s="14">
        <v>1900</v>
      </c>
      <c r="U14" s="14">
        <v>2000</v>
      </c>
      <c r="V14" s="14">
        <v>2100</v>
      </c>
      <c r="W14" s="14">
        <v>2200</v>
      </c>
      <c r="X14" s="14">
        <v>2300</v>
      </c>
      <c r="Y14" s="14">
        <v>2400</v>
      </c>
      <c r="Z14" s="14">
        <v>2500</v>
      </c>
      <c r="AA14" s="8"/>
      <c r="AB14" s="8"/>
      <c r="AC14" s="8"/>
      <c r="AD14" s="8"/>
      <c r="AE14" s="8"/>
      <c r="AF14" s="8"/>
      <c r="AG14" s="9"/>
      <c r="AH14" s="10"/>
      <c r="AI14" s="14" t="s">
        <v>14</v>
      </c>
      <c r="AJ14" s="14">
        <v>300</v>
      </c>
      <c r="AK14" s="14">
        <v>400</v>
      </c>
      <c r="AL14" s="14">
        <v>500</v>
      </c>
      <c r="AM14" s="14">
        <v>600</v>
      </c>
      <c r="AN14" s="14">
        <v>700</v>
      </c>
      <c r="AO14" s="14">
        <v>800</v>
      </c>
      <c r="AP14" s="14">
        <v>900</v>
      </c>
      <c r="AQ14" s="14">
        <v>1000</v>
      </c>
      <c r="AR14" s="14">
        <v>1100</v>
      </c>
      <c r="AS14" s="14">
        <v>1200</v>
      </c>
      <c r="AT14" s="14">
        <v>1300</v>
      </c>
      <c r="AU14" s="14">
        <v>1400</v>
      </c>
      <c r="AV14" s="14">
        <v>1500</v>
      </c>
      <c r="AW14" s="14">
        <v>1600</v>
      </c>
      <c r="AX14" s="14">
        <v>1700</v>
      </c>
      <c r="AY14" s="14">
        <v>1800</v>
      </c>
      <c r="AZ14" s="14">
        <v>1900</v>
      </c>
      <c r="BA14" s="14">
        <v>2000</v>
      </c>
      <c r="BB14" s="14">
        <v>2100</v>
      </c>
      <c r="BC14" s="14">
        <v>2200</v>
      </c>
      <c r="BD14" s="14">
        <v>2300</v>
      </c>
      <c r="BE14" s="7">
        <v>2400</v>
      </c>
      <c r="BF14" s="7">
        <v>2500</v>
      </c>
    </row>
    <row r="15" spans="1:58">
      <c r="A15" s="8"/>
      <c r="B15" s="10" t="s">
        <v>15</v>
      </c>
      <c r="C15" s="14">
        <v>1000</v>
      </c>
      <c r="D15" s="8">
        <v>33.12</v>
      </c>
      <c r="E15" s="8">
        <v>36.62</v>
      </c>
      <c r="F15" s="8">
        <v>40.11</v>
      </c>
      <c r="G15" s="8">
        <v>43.68</v>
      </c>
      <c r="H15" s="8">
        <v>47.84</v>
      </c>
      <c r="I15" s="8">
        <v>52.03</v>
      </c>
      <c r="J15" s="8">
        <v>56.25</v>
      </c>
      <c r="K15" s="8">
        <v>59.98</v>
      </c>
      <c r="L15" s="8">
        <v>64.06</v>
      </c>
      <c r="M15" s="8">
        <v>67.74</v>
      </c>
      <c r="N15" s="8">
        <v>71.47</v>
      </c>
      <c r="O15" s="8">
        <v>75.13</v>
      </c>
      <c r="P15" s="8">
        <v>79.25</v>
      </c>
      <c r="Q15" s="8">
        <v>83.87</v>
      </c>
      <c r="R15" s="8">
        <v>87.38</v>
      </c>
      <c r="S15" s="8">
        <v>91.2</v>
      </c>
      <c r="T15" s="8">
        <v>94.79</v>
      </c>
      <c r="U15" s="8">
        <v>98.53</v>
      </c>
      <c r="V15" s="8">
        <v>103.64</v>
      </c>
      <c r="W15" s="8">
        <v>109.41</v>
      </c>
      <c r="X15" s="8">
        <v>114.58</v>
      </c>
      <c r="Y15" s="8">
        <v>118.17</v>
      </c>
      <c r="Z15" s="8">
        <v>122.15</v>
      </c>
      <c r="AA15" s="8"/>
      <c r="AB15" s="8"/>
      <c r="AC15" s="8"/>
      <c r="AD15" s="8"/>
      <c r="AE15" s="8"/>
      <c r="AF15" s="8"/>
      <c r="AG15" s="9"/>
      <c r="AH15" s="10" t="s">
        <v>15</v>
      </c>
      <c r="AI15" s="14">
        <v>1000</v>
      </c>
      <c r="AJ15" s="8" t="str">
        <f>ROUND(33.12*(1+AD6)*(1+AD5)+AD7,2)</f>
        <v>0</v>
      </c>
      <c r="AK15" s="8" t="str">
        <f>ROUND(36.62*(1+AD6)*(1+AD5)+AD7,2)</f>
        <v>0</v>
      </c>
      <c r="AL15" s="8" t="str">
        <f>ROUND(40.11*(1+AD6)*(1+AD5)+AD7,2)</f>
        <v>0</v>
      </c>
      <c r="AM15" s="8" t="str">
        <f>ROUND(43.68*(1+AD6)*(1+AD5)+AD7,2)</f>
        <v>0</v>
      </c>
      <c r="AN15" s="8" t="str">
        <f>ROUND(47.84*(1+AD6)*(1+AD5)+AD7,2)</f>
        <v>0</v>
      </c>
      <c r="AO15" s="8" t="str">
        <f>ROUND(52.03*(1+AD6)*(1+AD5)+AD7,2)</f>
        <v>0</v>
      </c>
      <c r="AP15" s="8" t="str">
        <f>ROUND(56.25*(1+AD6)*(1+AD5)+AD7,2)</f>
        <v>0</v>
      </c>
      <c r="AQ15" s="8" t="str">
        <f>ROUND(59.98*(1+AD6)*(1+AD5)+AD7,2)</f>
        <v>0</v>
      </c>
      <c r="AR15" s="8" t="str">
        <f>ROUND(64.06*(1+AD6)*(1+AD5)+AD7,2)</f>
        <v>0</v>
      </c>
      <c r="AS15" s="8" t="str">
        <f>ROUND(67.74*(1+AD6)*(1+AD5)+AD7,2)</f>
        <v>0</v>
      </c>
      <c r="AT15" s="8" t="str">
        <f>ROUND(71.47*(1+AD6)*(1+AD5)+AD7,2)</f>
        <v>0</v>
      </c>
      <c r="AU15" s="8" t="str">
        <f>ROUND(75.13*(1+AD6)*(1+AD5)+AD7,2)</f>
        <v>0</v>
      </c>
      <c r="AV15" s="8" t="str">
        <f>ROUND(79.25*(1+AD6)*(1+AD5)+AD7,2)</f>
        <v>0</v>
      </c>
      <c r="AW15" s="8" t="str">
        <f>ROUND(83.87*(1+AD6)*(1+AD5)+AD7,2)</f>
        <v>0</v>
      </c>
      <c r="AX15" s="8" t="str">
        <f>ROUND(87.38*(1+AD6)*(1+AD5)+AD7,2)</f>
        <v>0</v>
      </c>
      <c r="AY15" s="8" t="str">
        <f>ROUND(91.2*(1+AD6)*(1+AD5)+AD7,2)</f>
        <v>0</v>
      </c>
      <c r="AZ15" s="8" t="str">
        <f>ROUND(94.79*(1+AD6)*(1+AD5)+AD7,2)</f>
        <v>0</v>
      </c>
      <c r="BA15" s="8" t="str">
        <f>ROUND(98.53*(1+AD6)*(1+AD5)+AD7,2)</f>
        <v>0</v>
      </c>
      <c r="BB15" s="8" t="str">
        <f>ROUND(103.64*(1+AD6)*(1+AD5)+AD7,2)</f>
        <v>0</v>
      </c>
      <c r="BC15" s="8" t="str">
        <f>ROUND(109.41*(1+AD6)*(1+AD5)+AD7,2)</f>
        <v>0</v>
      </c>
      <c r="BD15" s="8" t="str">
        <f>ROUND(114.58*(1+AD6)*(1+AD5)+AD7,2)</f>
        <v>0</v>
      </c>
      <c r="BE15" t="str">
        <f>ROUND(118.17*(1+AD6)*(1+AD5)+AD7,2)</f>
        <v>0</v>
      </c>
      <c r="BF15" t="str">
        <f>ROUND(122.15*(1+AD6)*(1+AD5)+AD7,2)</f>
        <v>0</v>
      </c>
    </row>
    <row r="16" spans="1:58">
      <c r="A16" s="8"/>
      <c r="B16" s="10"/>
      <c r="C16" s="14">
        <v>1100</v>
      </c>
      <c r="D16" s="8">
        <v>33.4</v>
      </c>
      <c r="E16" s="8">
        <v>36.97</v>
      </c>
      <c r="F16" s="8">
        <v>40.54</v>
      </c>
      <c r="G16" s="8">
        <v>44.19</v>
      </c>
      <c r="H16" s="8">
        <v>48.44</v>
      </c>
      <c r="I16" s="8">
        <v>52.7</v>
      </c>
      <c r="J16" s="8">
        <v>57</v>
      </c>
      <c r="K16" s="8">
        <v>60.82</v>
      </c>
      <c r="L16" s="8">
        <v>64.97</v>
      </c>
      <c r="M16" s="8">
        <v>68.74</v>
      </c>
      <c r="N16" s="8">
        <v>72.53</v>
      </c>
      <c r="O16" s="8">
        <v>76.28</v>
      </c>
      <c r="P16" s="8">
        <v>80.49</v>
      </c>
      <c r="Q16" s="8">
        <v>85.16</v>
      </c>
      <c r="R16" s="8">
        <v>88.73</v>
      </c>
      <c r="S16" s="8">
        <v>92.66</v>
      </c>
      <c r="T16" s="8">
        <v>96.32</v>
      </c>
      <c r="U16" s="8">
        <v>100.14</v>
      </c>
      <c r="V16" s="8">
        <v>105.32</v>
      </c>
      <c r="W16" s="8">
        <v>111.21</v>
      </c>
      <c r="X16" s="8">
        <v>116.43</v>
      </c>
      <c r="Y16" s="8">
        <v>120.09</v>
      </c>
      <c r="Z16" s="8">
        <v>124.13</v>
      </c>
      <c r="AA16" s="8"/>
      <c r="AB16" s="8"/>
      <c r="AC16" s="8"/>
      <c r="AD16" s="8"/>
      <c r="AE16" s="8"/>
      <c r="AF16" s="8"/>
      <c r="AG16" s="9"/>
      <c r="AH16" s="10"/>
      <c r="AI16" s="14">
        <v>1100</v>
      </c>
      <c r="AJ16" s="8" t="str">
        <f>ROUND(33.4*(1+AD6)*(1+AD5)+AD7,2)</f>
        <v>0</v>
      </c>
      <c r="AK16" s="8" t="str">
        <f>ROUND(36.97*(1+AD6)*(1+AD5)+AD7,2)</f>
        <v>0</v>
      </c>
      <c r="AL16" s="8" t="str">
        <f>ROUND(40.54*(1+AD6)*(1+AD5)+AD7,2)</f>
        <v>0</v>
      </c>
      <c r="AM16" s="8" t="str">
        <f>ROUND(44.19*(1+AD6)*(1+AD5)+AD7,2)</f>
        <v>0</v>
      </c>
      <c r="AN16" s="8" t="str">
        <f>ROUND(48.44*(1+AD6)*(1+AD5)+AD7,2)</f>
        <v>0</v>
      </c>
      <c r="AO16" s="8" t="str">
        <f>ROUND(52.7*(1+AD6)*(1+AD5)+AD7,2)</f>
        <v>0</v>
      </c>
      <c r="AP16" s="8" t="str">
        <f>ROUND(57*(1+AD6)*(1+AD5)+AD7,2)</f>
        <v>0</v>
      </c>
      <c r="AQ16" s="8" t="str">
        <f>ROUND(60.82*(1+AD6)*(1+AD5)+AD7,2)</f>
        <v>0</v>
      </c>
      <c r="AR16" s="8" t="str">
        <f>ROUND(64.97*(1+AD6)*(1+AD5)+AD7,2)</f>
        <v>0</v>
      </c>
      <c r="AS16" s="8" t="str">
        <f>ROUND(68.74*(1+AD6)*(1+AD5)+AD7,2)</f>
        <v>0</v>
      </c>
      <c r="AT16" s="8" t="str">
        <f>ROUND(72.53*(1+AD6)*(1+AD5)+AD7,2)</f>
        <v>0</v>
      </c>
      <c r="AU16" s="8" t="str">
        <f>ROUND(76.28*(1+AD6)*(1+AD5)+AD7,2)</f>
        <v>0</v>
      </c>
      <c r="AV16" s="8" t="str">
        <f>ROUND(80.49*(1+AD6)*(1+AD5)+AD7,2)</f>
        <v>0</v>
      </c>
      <c r="AW16" s="8" t="str">
        <f>ROUND(85.16*(1+AD6)*(1+AD5)+AD7,2)</f>
        <v>0</v>
      </c>
      <c r="AX16" s="8" t="str">
        <f>ROUND(88.73*(1+AD6)*(1+AD5)+AD7,2)</f>
        <v>0</v>
      </c>
      <c r="AY16" s="8" t="str">
        <f>ROUND(92.66*(1+AD6)*(1+AD5)+AD7,2)</f>
        <v>0</v>
      </c>
      <c r="AZ16" s="8" t="str">
        <f>ROUND(96.32*(1+AD6)*(1+AD5)+AD7,2)</f>
        <v>0</v>
      </c>
      <c r="BA16" s="8" t="str">
        <f>ROUND(100.14*(1+AD6)*(1+AD5)+AD7,2)</f>
        <v>0</v>
      </c>
      <c r="BB16" s="8" t="str">
        <f>ROUND(105.32*(1+AD6)*(1+AD5)+AD7,2)</f>
        <v>0</v>
      </c>
      <c r="BC16" s="8" t="str">
        <f>ROUND(111.21*(1+AD6)*(1+AD5)+AD7,2)</f>
        <v>0</v>
      </c>
      <c r="BD16" s="8" t="str">
        <f>ROUND(116.43*(1+AD6)*(1+AD5)+AD7,2)</f>
        <v>0</v>
      </c>
      <c r="BE16" t="str">
        <f>ROUND(120.09*(1+AD6)*(1+AD5)+AD7,2)</f>
        <v>0</v>
      </c>
      <c r="BF16" t="str">
        <f>ROUND(124.13*(1+AD6)*(1+AD5)+AD7,2)</f>
        <v>0</v>
      </c>
    </row>
    <row r="17" spans="1:58">
      <c r="A17" s="8"/>
      <c r="B17" s="10"/>
      <c r="C17" s="14">
        <v>1200</v>
      </c>
      <c r="D17" s="8">
        <v>33.67</v>
      </c>
      <c r="E17" s="8">
        <v>37.35</v>
      </c>
      <c r="F17" s="8">
        <v>40.98</v>
      </c>
      <c r="G17" s="8">
        <v>44.69</v>
      </c>
      <c r="H17" s="8">
        <v>49.02</v>
      </c>
      <c r="I17" s="8">
        <v>53.36</v>
      </c>
      <c r="J17" s="8">
        <v>57.75</v>
      </c>
      <c r="K17" s="8">
        <v>61.65</v>
      </c>
      <c r="L17" s="8">
        <v>65.89</v>
      </c>
      <c r="M17" s="8">
        <v>69.74</v>
      </c>
      <c r="N17" s="8">
        <v>74.79</v>
      </c>
      <c r="O17" s="8">
        <v>77.42</v>
      </c>
      <c r="P17" s="8">
        <v>81.7</v>
      </c>
      <c r="Q17" s="8">
        <v>86.46</v>
      </c>
      <c r="R17" s="8">
        <v>90.14</v>
      </c>
      <c r="S17" s="8">
        <v>94.12</v>
      </c>
      <c r="T17" s="8">
        <v>97.84</v>
      </c>
      <c r="U17" s="8">
        <v>101.77</v>
      </c>
      <c r="V17" s="8">
        <v>107.01</v>
      </c>
      <c r="W17" s="8">
        <v>112.96</v>
      </c>
      <c r="X17" s="8">
        <v>118.28</v>
      </c>
      <c r="Y17" s="8">
        <v>122.03</v>
      </c>
      <c r="Z17" s="8">
        <v>126.14</v>
      </c>
      <c r="AA17" s="8"/>
      <c r="AB17" s="8"/>
      <c r="AC17" s="8"/>
      <c r="AD17" s="8"/>
      <c r="AE17" s="8"/>
      <c r="AF17" s="8"/>
      <c r="AG17" s="9"/>
      <c r="AH17" s="10"/>
      <c r="AI17" s="14">
        <v>1200</v>
      </c>
      <c r="AJ17" s="8" t="str">
        <f>ROUND(33.67*(1+AD6)*(1+AD5)+AD7,2)</f>
        <v>0</v>
      </c>
      <c r="AK17" s="8" t="str">
        <f>ROUND(37.35*(1+AD6)*(1+AD5)+AD7,2)</f>
        <v>0</v>
      </c>
      <c r="AL17" s="8" t="str">
        <f>ROUND(40.98*(1+AD6)*(1+AD5)+AD7,2)</f>
        <v>0</v>
      </c>
      <c r="AM17" s="8" t="str">
        <f>ROUND(44.69*(1+AD6)*(1+AD5)+AD7,2)</f>
        <v>0</v>
      </c>
      <c r="AN17" s="8" t="str">
        <f>ROUND(49.02*(1+AD6)*(1+AD5)+AD7,2)</f>
        <v>0</v>
      </c>
      <c r="AO17" s="8" t="str">
        <f>ROUND(53.36*(1+AD6)*(1+AD5)+AD7,2)</f>
        <v>0</v>
      </c>
      <c r="AP17" s="8" t="str">
        <f>ROUND(57.75*(1+AD6)*(1+AD5)+AD7,2)</f>
        <v>0</v>
      </c>
      <c r="AQ17" s="8" t="str">
        <f>ROUND(61.65*(1+AD6)*(1+AD5)+AD7,2)</f>
        <v>0</v>
      </c>
      <c r="AR17" s="8" t="str">
        <f>ROUND(65.89*(1+AD6)*(1+AD5)+AD7,2)</f>
        <v>0</v>
      </c>
      <c r="AS17" s="8" t="str">
        <f>ROUND(69.74*(1+AD6)*(1+AD5)+AD7,2)</f>
        <v>0</v>
      </c>
      <c r="AT17" s="8" t="str">
        <f>ROUND(74.79*(1+AD6)*(1+AD5)+AD7,2)</f>
        <v>0</v>
      </c>
      <c r="AU17" s="8" t="str">
        <f>ROUND(77.42*(1+AD6)*(1+AD5)+AD7,2)</f>
        <v>0</v>
      </c>
      <c r="AV17" s="8" t="str">
        <f>ROUND(81.7*(1+AD6)*(1+AD5)+AD7,2)</f>
        <v>0</v>
      </c>
      <c r="AW17" s="8" t="str">
        <f>ROUND(86.46*(1+AD6)*(1+AD5)+AD7,2)</f>
        <v>0</v>
      </c>
      <c r="AX17" s="8" t="str">
        <f>ROUND(90.14*(1+AD6)*(1+AD5)+AD7,2)</f>
        <v>0</v>
      </c>
      <c r="AY17" s="8" t="str">
        <f>ROUND(94.12*(1+AD6)*(1+AD5)+AD7,2)</f>
        <v>0</v>
      </c>
      <c r="AZ17" s="8" t="str">
        <f>ROUND(97.84*(1+AD6)*(1+AD5)+AD7,2)</f>
        <v>0</v>
      </c>
      <c r="BA17" s="8" t="str">
        <f>ROUND(101.77*(1+AD6)*(1+AD5)+AD7,2)</f>
        <v>0</v>
      </c>
      <c r="BB17" s="8" t="str">
        <f>ROUND(107.01*(1+AD6)*(1+AD5)+AD7,2)</f>
        <v>0</v>
      </c>
      <c r="BC17" s="8" t="str">
        <f>ROUND(112.96*(1+AD6)*(1+AD5)+AD7,2)</f>
        <v>0</v>
      </c>
      <c r="BD17" s="8" t="str">
        <f>ROUND(118.28*(1+AD6)*(1+AD5)+AD7,2)</f>
        <v>0</v>
      </c>
      <c r="BE17" t="str">
        <f>ROUND(122.03*(1+AD6)*(1+AD5)+AD7,2)</f>
        <v>0</v>
      </c>
      <c r="BF17" t="str">
        <f>ROUND(126.14*(1+AD6)*(1+AD5)+AD7,2)</f>
        <v>0</v>
      </c>
    </row>
    <row r="18" spans="1:58">
      <c r="A18" s="8"/>
      <c r="B18" s="10"/>
      <c r="C18" s="14">
        <v>1300</v>
      </c>
      <c r="D18" s="8">
        <v>33.93</v>
      </c>
      <c r="E18" s="8">
        <v>37.69</v>
      </c>
      <c r="F18" s="8">
        <v>41.43</v>
      </c>
      <c r="G18" s="8">
        <v>45.23</v>
      </c>
      <c r="H18" s="8">
        <v>49.62</v>
      </c>
      <c r="I18" s="8">
        <v>53.95</v>
      </c>
      <c r="J18" s="8">
        <v>58.49</v>
      </c>
      <c r="K18" s="8">
        <v>62.49</v>
      </c>
      <c r="L18" s="8">
        <v>66.79</v>
      </c>
      <c r="M18" s="8">
        <v>70.71</v>
      </c>
      <c r="N18" s="8">
        <v>74.66</v>
      </c>
      <c r="O18" s="8">
        <v>78.57</v>
      </c>
      <c r="P18" s="8">
        <v>82.92</v>
      </c>
      <c r="Q18" s="8">
        <v>87.76</v>
      </c>
      <c r="R18" s="8">
        <v>91.5</v>
      </c>
      <c r="S18" s="8">
        <v>95.58</v>
      </c>
      <c r="T18" s="8">
        <v>99.39</v>
      </c>
      <c r="U18" s="8">
        <v>103.38</v>
      </c>
      <c r="V18" s="8">
        <v>108.7</v>
      </c>
      <c r="W18" s="8">
        <v>114.75</v>
      </c>
      <c r="X18" s="8">
        <v>120.13</v>
      </c>
      <c r="Y18" s="8">
        <v>123.96</v>
      </c>
      <c r="Z18" s="8">
        <v>128.11</v>
      </c>
      <c r="AA18" s="8"/>
      <c r="AB18" s="8"/>
      <c r="AC18" s="8"/>
      <c r="AD18" s="8"/>
      <c r="AE18" s="8"/>
      <c r="AF18" s="8"/>
      <c r="AG18" s="9"/>
      <c r="AH18" s="10"/>
      <c r="AI18" s="14">
        <v>1300</v>
      </c>
      <c r="AJ18" s="8" t="str">
        <f>ROUND(33.93*(1+AD6)*(1+AD5)+AD7,2)</f>
        <v>0</v>
      </c>
      <c r="AK18" s="8" t="str">
        <f>ROUND(37.69*(1+AD6)*(1+AD5)+AD7,2)</f>
        <v>0</v>
      </c>
      <c r="AL18" s="8" t="str">
        <f>ROUND(41.43*(1+AD6)*(1+AD5)+AD7,2)</f>
        <v>0</v>
      </c>
      <c r="AM18" s="8" t="str">
        <f>ROUND(45.23*(1+AD6)*(1+AD5)+AD7,2)</f>
        <v>0</v>
      </c>
      <c r="AN18" s="8" t="str">
        <f>ROUND(49.62*(1+AD6)*(1+AD5)+AD7,2)</f>
        <v>0</v>
      </c>
      <c r="AO18" s="8" t="str">
        <f>ROUND(53.95*(1+AD6)*(1+AD5)+AD7,2)</f>
        <v>0</v>
      </c>
      <c r="AP18" s="8" t="str">
        <f>ROUND(58.49*(1+AD6)*(1+AD5)+AD7,2)</f>
        <v>0</v>
      </c>
      <c r="AQ18" s="8" t="str">
        <f>ROUND(62.49*(1+AD6)*(1+AD5)+AD7,2)</f>
        <v>0</v>
      </c>
      <c r="AR18" s="8" t="str">
        <f>ROUND(66.79*(1+AD6)*(1+AD5)+AD7,2)</f>
        <v>0</v>
      </c>
      <c r="AS18" s="8" t="str">
        <f>ROUND(70.71*(1+AD6)*(1+AD5)+AD7,2)</f>
        <v>0</v>
      </c>
      <c r="AT18" s="8" t="str">
        <f>ROUND(74.66*(1+AD6)*(1+AD5)+AD7,2)</f>
        <v>0</v>
      </c>
      <c r="AU18" s="8" t="str">
        <f>ROUND(78.57*(1+AD6)*(1+AD5)+AD7,2)</f>
        <v>0</v>
      </c>
      <c r="AV18" s="8" t="str">
        <f>ROUND(82.92*(1+AD6)*(1+AD5)+AD7,2)</f>
        <v>0</v>
      </c>
      <c r="AW18" s="8" t="str">
        <f>ROUND(87.76*(1+AD6)*(1+AD5)+AD7,2)</f>
        <v>0</v>
      </c>
      <c r="AX18" s="8" t="str">
        <f>ROUND(91.5*(1+AD6)*(1+AD5)+AD7,2)</f>
        <v>0</v>
      </c>
      <c r="AY18" s="8" t="str">
        <f>ROUND(95.58*(1+AD6)*(1+AD5)+AD7,2)</f>
        <v>0</v>
      </c>
      <c r="AZ18" s="8" t="str">
        <f>ROUND(99.39*(1+AD6)*(1+AD5)+AD7,2)</f>
        <v>0</v>
      </c>
      <c r="BA18" s="8" t="str">
        <f>ROUND(103.38*(1+AD6)*(1+AD5)+AD7,2)</f>
        <v>0</v>
      </c>
      <c r="BB18" s="8" t="str">
        <f>ROUND(108.7*(1+AD6)*(1+AD5)+AD7,2)</f>
        <v>0</v>
      </c>
      <c r="BC18" s="8" t="str">
        <f>ROUND(114.75*(1+AD6)*(1+AD5)+AD7,2)</f>
        <v>0</v>
      </c>
      <c r="BD18" s="8" t="str">
        <f>ROUND(120.13*(1+AD6)*(1+AD5)+AD7,2)</f>
        <v>0</v>
      </c>
      <c r="BE18" t="str">
        <f>ROUND(123.96*(1+AD6)*(1+AD5)+AD7,2)</f>
        <v>0</v>
      </c>
      <c r="BF18" t="str">
        <f>ROUND(128.11*(1+AD6)*(1+AD5)+AD7,2)</f>
        <v>0</v>
      </c>
    </row>
    <row r="19" spans="1:58">
      <c r="A19" s="8"/>
      <c r="B19" s="10"/>
      <c r="C19" s="14">
        <v>1400</v>
      </c>
      <c r="D19" s="8">
        <v>34.22</v>
      </c>
      <c r="E19" s="8">
        <v>38.06</v>
      </c>
      <c r="F19" s="8">
        <v>41.87</v>
      </c>
      <c r="G19" s="8">
        <v>45.75</v>
      </c>
      <c r="H19" s="8">
        <v>50.21</v>
      </c>
      <c r="I19" s="8">
        <v>54.71</v>
      </c>
      <c r="J19" s="8">
        <v>59.24</v>
      </c>
      <c r="K19" s="8">
        <v>63.32</v>
      </c>
      <c r="L19" s="8">
        <v>67.68</v>
      </c>
      <c r="M19" s="8">
        <v>71.71</v>
      </c>
      <c r="N19" s="8">
        <v>75.73</v>
      </c>
      <c r="O19" s="8">
        <v>79.7</v>
      </c>
      <c r="P19" s="8">
        <v>84.15</v>
      </c>
      <c r="Q19" s="8">
        <v>89.06</v>
      </c>
      <c r="R19" s="8">
        <v>92.87</v>
      </c>
      <c r="S19" s="8">
        <v>97.01</v>
      </c>
      <c r="T19" s="8">
        <v>100.92</v>
      </c>
      <c r="U19" s="8">
        <v>104.99</v>
      </c>
      <c r="V19" s="8">
        <v>110.38</v>
      </c>
      <c r="W19" s="8">
        <v>116.51</v>
      </c>
      <c r="X19" s="8">
        <v>122</v>
      </c>
      <c r="Y19" s="8">
        <v>125.9</v>
      </c>
      <c r="Z19" s="8">
        <v>130.1</v>
      </c>
      <c r="AA19" s="8"/>
      <c r="AB19" s="8"/>
      <c r="AC19" s="8"/>
      <c r="AD19" s="8"/>
      <c r="AE19" s="8"/>
      <c r="AF19" s="8"/>
      <c r="AG19" s="9"/>
      <c r="AH19" s="10"/>
      <c r="AI19" s="14">
        <v>1400</v>
      </c>
      <c r="AJ19" s="8" t="str">
        <f>ROUND(34.22*(1+AD6)*(1+AD5)+AD7,2)</f>
        <v>0</v>
      </c>
      <c r="AK19" s="8" t="str">
        <f>ROUND(38.06*(1+AD6)*(1+AD5)+AD7,2)</f>
        <v>0</v>
      </c>
      <c r="AL19" s="8" t="str">
        <f>ROUND(41.87*(1+AD6)*(1+AD5)+AD7,2)</f>
        <v>0</v>
      </c>
      <c r="AM19" s="8" t="str">
        <f>ROUND(45.75*(1+AD6)*(1+AD5)+AD7,2)</f>
        <v>0</v>
      </c>
      <c r="AN19" s="8" t="str">
        <f>ROUND(50.21*(1+AD6)*(1+AD5)+AD7,2)</f>
        <v>0</v>
      </c>
      <c r="AO19" s="8" t="str">
        <f>ROUND(54.71*(1+AD6)*(1+AD5)+AD7,2)</f>
        <v>0</v>
      </c>
      <c r="AP19" s="8" t="str">
        <f>ROUND(59.24*(1+AD6)*(1+AD5)+AD7,2)</f>
        <v>0</v>
      </c>
      <c r="AQ19" s="8" t="str">
        <f>ROUND(63.32*(1+AD6)*(1+AD5)+AD7,2)</f>
        <v>0</v>
      </c>
      <c r="AR19" s="8" t="str">
        <f>ROUND(67.68*(1+AD6)*(1+AD5)+AD7,2)</f>
        <v>0</v>
      </c>
      <c r="AS19" s="8" t="str">
        <f>ROUND(71.71*(1+AD6)*(1+AD5)+AD7,2)</f>
        <v>0</v>
      </c>
      <c r="AT19" s="8" t="str">
        <f>ROUND(75.73*(1+AD6)*(1+AD5)+AD7,2)</f>
        <v>0</v>
      </c>
      <c r="AU19" s="8" t="str">
        <f>ROUND(79.7*(1+AD6)*(1+AD5)+AD7,2)</f>
        <v>0</v>
      </c>
      <c r="AV19" s="8" t="str">
        <f>ROUND(84.15*(1+AD6)*(1+AD5)+AD7,2)</f>
        <v>0</v>
      </c>
      <c r="AW19" s="8" t="str">
        <f>ROUND(89.06*(1+AD6)*(1+AD5)+AD7,2)</f>
        <v>0</v>
      </c>
      <c r="AX19" s="8" t="str">
        <f>ROUND(92.87*(1+AD6)*(1+AD5)+AD7,2)</f>
        <v>0</v>
      </c>
      <c r="AY19" s="8" t="str">
        <f>ROUND(97.01*(1+AD6)*(1+AD5)+AD7,2)</f>
        <v>0</v>
      </c>
      <c r="AZ19" s="8" t="str">
        <f>ROUND(100.92*(1+AD6)*(1+AD5)+AD7,2)</f>
        <v>0</v>
      </c>
      <c r="BA19" s="8" t="str">
        <f>ROUND(104.99*(1+AD6)*(1+AD5)+AD7,2)</f>
        <v>0</v>
      </c>
      <c r="BB19" s="8" t="str">
        <f>ROUND(110.38*(1+AD6)*(1+AD5)+AD7,2)</f>
        <v>0</v>
      </c>
      <c r="BC19" s="8" t="str">
        <f>ROUND(116.51*(1+AD6)*(1+AD5)+AD7,2)</f>
        <v>0</v>
      </c>
      <c r="BD19" s="8" t="str">
        <f>ROUND(122*(1+AD6)*(1+AD5)+AD7,2)</f>
        <v>0</v>
      </c>
      <c r="BE19" t="str">
        <f>ROUND(125.9*(1+AD6)*(1+AD5)+AD7,2)</f>
        <v>0</v>
      </c>
      <c r="BF19" t="str">
        <f>ROUND(130.1*(1+AD6)*(1+AD5)+AD7,2)</f>
        <v>0</v>
      </c>
    </row>
    <row r="20" spans="1:58">
      <c r="A20" s="8"/>
      <c r="B20" s="10"/>
      <c r="C20" s="14">
        <v>1500</v>
      </c>
      <c r="D20" s="8">
        <v>34.5</v>
      </c>
      <c r="E20" s="8">
        <v>38.4</v>
      </c>
      <c r="F20" s="8">
        <v>42.3</v>
      </c>
      <c r="G20" s="8">
        <v>46.25</v>
      </c>
      <c r="H20" s="8">
        <v>50.8</v>
      </c>
      <c r="I20" s="8">
        <v>55.37</v>
      </c>
      <c r="J20" s="8">
        <v>60</v>
      </c>
      <c r="K20" s="8">
        <v>64.16</v>
      </c>
      <c r="L20" s="8">
        <v>68.59</v>
      </c>
      <c r="M20" s="8">
        <v>72.68</v>
      </c>
      <c r="N20" s="8">
        <v>76.79</v>
      </c>
      <c r="O20" s="8">
        <v>80.83</v>
      </c>
      <c r="P20" s="8">
        <v>85.37</v>
      </c>
      <c r="Q20" s="8">
        <v>90.34</v>
      </c>
      <c r="R20" s="8">
        <v>94.26</v>
      </c>
      <c r="S20" s="8">
        <v>98.49</v>
      </c>
      <c r="T20" s="8">
        <v>102.46</v>
      </c>
      <c r="U20" s="8">
        <v>106.62</v>
      </c>
      <c r="V20" s="8">
        <v>112.11</v>
      </c>
      <c r="W20" s="8">
        <v>118.29</v>
      </c>
      <c r="X20" s="8">
        <v>123.85</v>
      </c>
      <c r="Y20" s="8">
        <v>127.84</v>
      </c>
      <c r="Z20" s="8">
        <v>132.09</v>
      </c>
      <c r="AA20" s="8"/>
      <c r="AB20" s="8"/>
      <c r="AC20" s="8"/>
      <c r="AD20" s="8"/>
      <c r="AE20" s="8"/>
      <c r="AF20" s="8"/>
      <c r="AG20" s="9"/>
      <c r="AH20" s="10"/>
      <c r="AI20" s="14">
        <v>1500</v>
      </c>
      <c r="AJ20" s="8" t="str">
        <f>ROUND(34.5*(1+AD6)*(1+AD5)+AD7,2)</f>
        <v>0</v>
      </c>
      <c r="AK20" s="8" t="str">
        <f>ROUND(38.4*(1+AD6)*(1+AD5)+AD7,2)</f>
        <v>0</v>
      </c>
      <c r="AL20" s="8" t="str">
        <f>ROUND(42.3*(1+AD6)*(1+AD5)+AD7,2)</f>
        <v>0</v>
      </c>
      <c r="AM20" s="8" t="str">
        <f>ROUND(46.25*(1+AD6)*(1+AD5)+AD7,2)</f>
        <v>0</v>
      </c>
      <c r="AN20" s="8" t="str">
        <f>ROUND(50.8*(1+AD6)*(1+AD5)+AD7,2)</f>
        <v>0</v>
      </c>
      <c r="AO20" s="8" t="str">
        <f>ROUND(55.37*(1+AD6)*(1+AD5)+AD7,2)</f>
        <v>0</v>
      </c>
      <c r="AP20" s="8" t="str">
        <f>ROUND(60*(1+AD6)*(1+AD5)+AD7,2)</f>
        <v>0</v>
      </c>
      <c r="AQ20" s="8" t="str">
        <f>ROUND(64.16*(1+AD6)*(1+AD5)+AD7,2)</f>
        <v>0</v>
      </c>
      <c r="AR20" s="8" t="str">
        <f>ROUND(68.59*(1+AD6)*(1+AD5)+AD7,2)</f>
        <v>0</v>
      </c>
      <c r="AS20" s="8" t="str">
        <f>ROUND(72.68*(1+AD6)*(1+AD5)+AD7,2)</f>
        <v>0</v>
      </c>
      <c r="AT20" s="8" t="str">
        <f>ROUND(76.79*(1+AD6)*(1+AD5)+AD7,2)</f>
        <v>0</v>
      </c>
      <c r="AU20" s="8" t="str">
        <f>ROUND(80.83*(1+AD6)*(1+AD5)+AD7,2)</f>
        <v>0</v>
      </c>
      <c r="AV20" s="8" t="str">
        <f>ROUND(85.37*(1+AD6)*(1+AD5)+AD7,2)</f>
        <v>0</v>
      </c>
      <c r="AW20" s="8" t="str">
        <f>ROUND(90.34*(1+AD6)*(1+AD5)+AD7,2)</f>
        <v>0</v>
      </c>
      <c r="AX20" s="8" t="str">
        <f>ROUND(94.26*(1+AD6)*(1+AD5)+AD7,2)</f>
        <v>0</v>
      </c>
      <c r="AY20" s="8" t="str">
        <f>ROUND(98.49*(1+AD6)*(1+AD5)+AD7,2)</f>
        <v>0</v>
      </c>
      <c r="AZ20" s="8" t="str">
        <f>ROUND(102.46*(1+AD6)*(1+AD5)+AD7,2)</f>
        <v>0</v>
      </c>
      <c r="BA20" s="8" t="str">
        <f>ROUND(106.62*(1+AD6)*(1+AD5)+AD7,2)</f>
        <v>0</v>
      </c>
      <c r="BB20" s="8" t="str">
        <f>ROUND(112.11*(1+AD6)*(1+AD5)+AD7,2)</f>
        <v>0</v>
      </c>
      <c r="BC20" s="8" t="str">
        <f>ROUND(118.29*(1+AD6)*(1+AD5)+AD7,2)</f>
        <v>0</v>
      </c>
      <c r="BD20" s="8" t="str">
        <f>ROUND(123.85*(1+AD6)*(1+AD5)+AD7,2)</f>
        <v>0</v>
      </c>
      <c r="BE20" t="str">
        <f>ROUND(127.84*(1+AD6)*(1+AD5)+AD7,2)</f>
        <v>0</v>
      </c>
      <c r="BF20" t="str">
        <f>ROUND(132.09*(1+AD6)*(1+AD5)+AD7,2)</f>
        <v>0</v>
      </c>
    </row>
    <row r="21" spans="1:58">
      <c r="A21" s="8"/>
      <c r="B21" s="10"/>
      <c r="C21" s="14">
        <v>1600</v>
      </c>
      <c r="D21" s="8">
        <v>34.78</v>
      </c>
      <c r="E21" s="8">
        <v>38.77</v>
      </c>
      <c r="F21" s="8">
        <v>42.72</v>
      </c>
      <c r="G21" s="8">
        <v>46.75</v>
      </c>
      <c r="H21" s="8">
        <v>51.39</v>
      </c>
      <c r="I21" s="8">
        <v>56.05</v>
      </c>
      <c r="J21" s="8">
        <v>60.74</v>
      </c>
      <c r="K21" s="8">
        <v>64.95</v>
      </c>
      <c r="L21" s="8">
        <v>69.5</v>
      </c>
      <c r="M21" s="8">
        <v>73.66</v>
      </c>
      <c r="N21" s="8">
        <v>77.86</v>
      </c>
      <c r="O21" s="8">
        <v>81.99</v>
      </c>
      <c r="P21" s="8">
        <v>86.59</v>
      </c>
      <c r="Q21" s="8">
        <v>91.68</v>
      </c>
      <c r="R21" s="8">
        <v>95.63</v>
      </c>
      <c r="S21" s="8">
        <v>99.96</v>
      </c>
      <c r="T21" s="8">
        <v>104</v>
      </c>
      <c r="U21" s="8">
        <v>108.23</v>
      </c>
      <c r="V21" s="8">
        <v>113.78</v>
      </c>
      <c r="W21" s="8">
        <v>120.06</v>
      </c>
      <c r="X21" s="8">
        <v>125.7</v>
      </c>
      <c r="Y21" s="8">
        <v>129.75</v>
      </c>
      <c r="Z21" s="8">
        <v>134.07</v>
      </c>
      <c r="AA21" s="8"/>
      <c r="AB21" s="8"/>
      <c r="AC21" s="8"/>
      <c r="AD21" s="8"/>
      <c r="AE21" s="8"/>
      <c r="AF21" s="8"/>
      <c r="AG21" s="9"/>
      <c r="AH21" s="10"/>
      <c r="AI21" s="14">
        <v>1600</v>
      </c>
      <c r="AJ21" s="8" t="str">
        <f>ROUND(34.78*(1+AD6)*(1+AD5)+AD7,2)</f>
        <v>0</v>
      </c>
      <c r="AK21" s="8" t="str">
        <f>ROUND(38.77*(1+AD6)*(1+AD5)+AD7,2)</f>
        <v>0</v>
      </c>
      <c r="AL21" s="8" t="str">
        <f>ROUND(42.72*(1+AD6)*(1+AD5)+AD7,2)</f>
        <v>0</v>
      </c>
      <c r="AM21" s="8" t="str">
        <f>ROUND(46.75*(1+AD6)*(1+AD5)+AD7,2)</f>
        <v>0</v>
      </c>
      <c r="AN21" s="8" t="str">
        <f>ROUND(51.39*(1+AD6)*(1+AD5)+AD7,2)</f>
        <v>0</v>
      </c>
      <c r="AO21" s="8" t="str">
        <f>ROUND(56.05*(1+AD6)*(1+AD5)+AD7,2)</f>
        <v>0</v>
      </c>
      <c r="AP21" s="8" t="str">
        <f>ROUND(60.74*(1+AD6)*(1+AD5)+AD7,2)</f>
        <v>0</v>
      </c>
      <c r="AQ21" s="8" t="str">
        <f>ROUND(64.95*(1+AD6)*(1+AD5)+AD7,2)</f>
        <v>0</v>
      </c>
      <c r="AR21" s="8" t="str">
        <f>ROUND(69.5*(1+AD6)*(1+AD5)+AD7,2)</f>
        <v>0</v>
      </c>
      <c r="AS21" s="8" t="str">
        <f>ROUND(73.66*(1+AD6)*(1+AD5)+AD7,2)</f>
        <v>0</v>
      </c>
      <c r="AT21" s="8" t="str">
        <f>ROUND(77.86*(1+AD6)*(1+AD5)+AD7,2)</f>
        <v>0</v>
      </c>
      <c r="AU21" s="8" t="str">
        <f>ROUND(81.99*(1+AD6)*(1+AD5)+AD7,2)</f>
        <v>0</v>
      </c>
      <c r="AV21" s="8" t="str">
        <f>ROUND(86.59*(1+AD6)*(1+AD5)+AD7,2)</f>
        <v>0</v>
      </c>
      <c r="AW21" s="8" t="str">
        <f>ROUND(91.68*(1+AD6)*(1+AD5)+AD7,2)</f>
        <v>0</v>
      </c>
      <c r="AX21" s="8" t="str">
        <f>ROUND(95.63*(1+AD6)*(1+AD5)+AD7,2)</f>
        <v>0</v>
      </c>
      <c r="AY21" s="8" t="str">
        <f>ROUND(99.96*(1+AD6)*(1+AD5)+AD7,2)</f>
        <v>0</v>
      </c>
      <c r="AZ21" s="8" t="str">
        <f>ROUND(104*(1+AD6)*(1+AD5)+AD7,2)</f>
        <v>0</v>
      </c>
      <c r="BA21" s="8" t="str">
        <f>ROUND(108.23*(1+AD6)*(1+AD5)+AD7,2)</f>
        <v>0</v>
      </c>
      <c r="BB21" s="8" t="str">
        <f>ROUND(113.78*(1+AD6)*(1+AD5)+AD7,2)</f>
        <v>0</v>
      </c>
      <c r="BC21" s="8" t="str">
        <f>ROUND(120.06*(1+AD6)*(1+AD5)+AD7,2)</f>
        <v>0</v>
      </c>
      <c r="BD21" s="8" t="str">
        <f>ROUND(125.7*(1+AD6)*(1+AD5)+AD7,2)</f>
        <v>0</v>
      </c>
      <c r="BE21" t="str">
        <f>ROUND(129.75*(1+AD6)*(1+AD5)+AD7,2)</f>
        <v>0</v>
      </c>
      <c r="BF21" t="str">
        <f>ROUND(134.07*(1+AD6)*(1+AD5)+AD7,2)</f>
        <v>0</v>
      </c>
    </row>
    <row r="22" spans="1:58">
      <c r="A22" s="8"/>
      <c r="B22" s="10"/>
      <c r="C22" s="14">
        <v>1700</v>
      </c>
      <c r="D22" s="8">
        <v>35.05</v>
      </c>
      <c r="E22" s="8">
        <v>39.1</v>
      </c>
      <c r="F22" s="8">
        <v>43.17</v>
      </c>
      <c r="G22" s="8">
        <v>47.26</v>
      </c>
      <c r="H22" s="8">
        <v>52</v>
      </c>
      <c r="I22" s="8">
        <v>56.72</v>
      </c>
      <c r="J22" s="8">
        <v>61.5</v>
      </c>
      <c r="K22" s="8">
        <v>65.79</v>
      </c>
      <c r="L22" s="8">
        <v>70.42</v>
      </c>
      <c r="M22" s="8">
        <v>74.66</v>
      </c>
      <c r="N22" s="8">
        <v>78.91</v>
      </c>
      <c r="O22" s="8">
        <v>83.12</v>
      </c>
      <c r="P22" s="8">
        <v>87.83</v>
      </c>
      <c r="Q22" s="8">
        <v>92.96</v>
      </c>
      <c r="R22" s="8">
        <v>97.02</v>
      </c>
      <c r="S22" s="8">
        <v>101.41</v>
      </c>
      <c r="T22" s="8">
        <v>105.55</v>
      </c>
      <c r="U22" s="8">
        <v>109.84</v>
      </c>
      <c r="V22" s="8">
        <v>115.48</v>
      </c>
      <c r="W22" s="8">
        <v>121.83</v>
      </c>
      <c r="X22" s="8">
        <v>127.56</v>
      </c>
      <c r="Y22" s="8">
        <v>131.69</v>
      </c>
      <c r="Z22" s="8">
        <v>136.06</v>
      </c>
      <c r="AA22" s="8"/>
      <c r="AB22" s="8"/>
      <c r="AC22" s="8"/>
      <c r="AD22" s="8"/>
      <c r="AE22" s="8"/>
      <c r="AF22" s="8"/>
      <c r="AG22" s="9"/>
      <c r="AH22" s="10"/>
      <c r="AI22" s="14">
        <v>1700</v>
      </c>
      <c r="AJ22" s="8" t="str">
        <f>ROUND(35.05*(1+AD6)*(1+AD5)+AD7,2)</f>
        <v>0</v>
      </c>
      <c r="AK22" s="8" t="str">
        <f>ROUND(39.1*(1+AD6)*(1+AD5)+AD7,2)</f>
        <v>0</v>
      </c>
      <c r="AL22" s="8" t="str">
        <f>ROUND(43.17*(1+AD6)*(1+AD5)+AD7,2)</f>
        <v>0</v>
      </c>
      <c r="AM22" s="8" t="str">
        <f>ROUND(47.26*(1+AD6)*(1+AD5)+AD7,2)</f>
        <v>0</v>
      </c>
      <c r="AN22" s="8" t="str">
        <f>ROUND(52*(1+AD6)*(1+AD5)+AD7,2)</f>
        <v>0</v>
      </c>
      <c r="AO22" s="8" t="str">
        <f>ROUND(56.72*(1+AD6)*(1+AD5)+AD7,2)</f>
        <v>0</v>
      </c>
      <c r="AP22" s="8" t="str">
        <f>ROUND(61.5*(1+AD6)*(1+AD5)+AD7,2)</f>
        <v>0</v>
      </c>
      <c r="AQ22" s="8" t="str">
        <f>ROUND(65.79*(1+AD6)*(1+AD5)+AD7,2)</f>
        <v>0</v>
      </c>
      <c r="AR22" s="8" t="str">
        <f>ROUND(70.42*(1+AD6)*(1+AD5)+AD7,2)</f>
        <v>0</v>
      </c>
      <c r="AS22" s="8" t="str">
        <f>ROUND(74.66*(1+AD6)*(1+AD5)+AD7,2)</f>
        <v>0</v>
      </c>
      <c r="AT22" s="8" t="str">
        <f>ROUND(78.91*(1+AD6)*(1+AD5)+AD7,2)</f>
        <v>0</v>
      </c>
      <c r="AU22" s="8" t="str">
        <f>ROUND(83.12*(1+AD6)*(1+AD5)+AD7,2)</f>
        <v>0</v>
      </c>
      <c r="AV22" s="8" t="str">
        <f>ROUND(87.83*(1+AD6)*(1+AD5)+AD7,2)</f>
        <v>0</v>
      </c>
      <c r="AW22" s="8" t="str">
        <f>ROUND(92.96*(1+AD6)*(1+AD5)+AD7,2)</f>
        <v>0</v>
      </c>
      <c r="AX22" s="8" t="str">
        <f>ROUND(97.02*(1+AD6)*(1+AD5)+AD7,2)</f>
        <v>0</v>
      </c>
      <c r="AY22" s="8" t="str">
        <f>ROUND(101.41*(1+AD6)*(1+AD5)+AD7,2)</f>
        <v>0</v>
      </c>
      <c r="AZ22" s="8" t="str">
        <f>ROUND(105.55*(1+AD6)*(1+AD5)+AD7,2)</f>
        <v>0</v>
      </c>
      <c r="BA22" s="8" t="str">
        <f>ROUND(109.84*(1+AD6)*(1+AD5)+AD7,2)</f>
        <v>0</v>
      </c>
      <c r="BB22" s="8" t="str">
        <f>ROUND(115.48*(1+AD6)*(1+AD5)+AD7,2)</f>
        <v>0</v>
      </c>
      <c r="BC22" s="8" t="str">
        <f>ROUND(121.83*(1+AD6)*(1+AD5)+AD7,2)</f>
        <v>0</v>
      </c>
      <c r="BD22" s="8" t="str">
        <f>ROUND(127.56*(1+AD6)*(1+AD5)+AD7,2)</f>
        <v>0</v>
      </c>
      <c r="BE22" t="str">
        <f>ROUND(131.69*(1+AD6)*(1+AD5)+AD7,2)</f>
        <v>0</v>
      </c>
      <c r="BF22" t="str">
        <f>ROUND(136.06*(1+AD6)*(1+AD5)+AD7,2)</f>
        <v>0</v>
      </c>
    </row>
    <row r="23" spans="1:58">
      <c r="A23" s="8"/>
      <c r="B23" s="10"/>
      <c r="C23" s="14">
        <v>1800</v>
      </c>
      <c r="D23" s="8">
        <v>35.33</v>
      </c>
      <c r="E23" s="8">
        <v>39.46</v>
      </c>
      <c r="F23" s="8">
        <v>43.6</v>
      </c>
      <c r="G23" s="8">
        <v>47.8</v>
      </c>
      <c r="H23" s="8">
        <v>52.56</v>
      </c>
      <c r="I23" s="8">
        <v>57.38</v>
      </c>
      <c r="J23" s="8">
        <v>62.25</v>
      </c>
      <c r="K23" s="8">
        <v>66.63</v>
      </c>
      <c r="L23" s="8">
        <v>71.32</v>
      </c>
      <c r="M23" s="8">
        <v>75.65</v>
      </c>
      <c r="N23" s="8">
        <v>79.98</v>
      </c>
      <c r="O23" s="8">
        <v>84.29</v>
      </c>
      <c r="P23" s="8">
        <v>89.03</v>
      </c>
      <c r="Q23" s="8">
        <v>94.28</v>
      </c>
      <c r="R23" s="8">
        <v>98.4</v>
      </c>
      <c r="S23" s="8">
        <v>102.87</v>
      </c>
      <c r="T23" s="8">
        <v>107.07</v>
      </c>
      <c r="U23" s="8">
        <v>111.46</v>
      </c>
      <c r="V23" s="8">
        <v>117.17</v>
      </c>
      <c r="W23" s="8">
        <v>123.59</v>
      </c>
      <c r="X23" s="8">
        <v>129.4</v>
      </c>
      <c r="Y23" s="8">
        <v>133.61</v>
      </c>
      <c r="Z23" s="8">
        <v>138.05</v>
      </c>
      <c r="AA23" s="8"/>
      <c r="AB23" s="8"/>
      <c r="AC23" s="8"/>
      <c r="AD23" s="8"/>
      <c r="AE23" s="8"/>
      <c r="AF23" s="8"/>
      <c r="AG23" s="9"/>
      <c r="AH23" s="10"/>
      <c r="AI23" s="14">
        <v>1800</v>
      </c>
      <c r="AJ23" s="8" t="str">
        <f>ROUND(35.33*(1+AD6)*(1+AD5)+AD7,2)</f>
        <v>0</v>
      </c>
      <c r="AK23" s="8" t="str">
        <f>ROUND(39.46*(1+AD6)*(1+AD5)+AD7,2)</f>
        <v>0</v>
      </c>
      <c r="AL23" s="8" t="str">
        <f>ROUND(43.6*(1+AD6)*(1+AD5)+AD7,2)</f>
        <v>0</v>
      </c>
      <c r="AM23" s="8" t="str">
        <f>ROUND(47.8*(1+AD6)*(1+AD5)+AD7,2)</f>
        <v>0</v>
      </c>
      <c r="AN23" s="8" t="str">
        <f>ROUND(52.56*(1+AD6)*(1+AD5)+AD7,2)</f>
        <v>0</v>
      </c>
      <c r="AO23" s="8" t="str">
        <f>ROUND(57.38*(1+AD6)*(1+AD5)+AD7,2)</f>
        <v>0</v>
      </c>
      <c r="AP23" s="8" t="str">
        <f>ROUND(62.25*(1+AD6)*(1+AD5)+AD7,2)</f>
        <v>0</v>
      </c>
      <c r="AQ23" s="8" t="str">
        <f>ROUND(66.63*(1+AD6)*(1+AD5)+AD7,2)</f>
        <v>0</v>
      </c>
      <c r="AR23" s="8" t="str">
        <f>ROUND(71.32*(1+AD6)*(1+AD5)+AD7,2)</f>
        <v>0</v>
      </c>
      <c r="AS23" s="8" t="str">
        <f>ROUND(75.65*(1+AD6)*(1+AD5)+AD7,2)</f>
        <v>0</v>
      </c>
      <c r="AT23" s="8" t="str">
        <f>ROUND(79.98*(1+AD6)*(1+AD5)+AD7,2)</f>
        <v>0</v>
      </c>
      <c r="AU23" s="8" t="str">
        <f>ROUND(84.29*(1+AD6)*(1+AD5)+AD7,2)</f>
        <v>0</v>
      </c>
      <c r="AV23" s="8" t="str">
        <f>ROUND(89.03*(1+AD6)*(1+AD5)+AD7,2)</f>
        <v>0</v>
      </c>
      <c r="AW23" s="8" t="str">
        <f>ROUND(94.28*(1+AD6)*(1+AD5)+AD7,2)</f>
        <v>0</v>
      </c>
      <c r="AX23" s="8" t="str">
        <f>ROUND(98.4*(1+AD6)*(1+AD5)+AD7,2)</f>
        <v>0</v>
      </c>
      <c r="AY23" s="8" t="str">
        <f>ROUND(102.87*(1+AD6)*(1+AD5)+AD7,2)</f>
        <v>0</v>
      </c>
      <c r="AZ23" s="8" t="str">
        <f>ROUND(107.07*(1+AD6)*(1+AD5)+AD7,2)</f>
        <v>0</v>
      </c>
      <c r="BA23" s="8" t="str">
        <f>ROUND(111.46*(1+AD6)*(1+AD5)+AD7,2)</f>
        <v>0</v>
      </c>
      <c r="BB23" s="8" t="str">
        <f>ROUND(117.17*(1+AD6)*(1+AD5)+AD7,2)</f>
        <v>0</v>
      </c>
      <c r="BC23" s="8" t="str">
        <f>ROUND(123.59*(1+AD6)*(1+AD5)+AD7,2)</f>
        <v>0</v>
      </c>
      <c r="BD23" s="8" t="str">
        <f>ROUND(129.4*(1+AD6)*(1+AD5)+AD7,2)</f>
        <v>0</v>
      </c>
      <c r="BE23" t="str">
        <f>ROUND(133.61*(1+AD6)*(1+AD5)+AD7,2)</f>
        <v>0</v>
      </c>
      <c r="BF23" t="str">
        <f>ROUND(138.05*(1+AD6)*(1+AD5)+AD7,2)</f>
        <v>0</v>
      </c>
    </row>
    <row r="24" spans="1:58">
      <c r="A24" s="8"/>
      <c r="B24" s="10"/>
      <c r="C24" s="14">
        <v>1900</v>
      </c>
      <c r="D24" s="8">
        <v>35.61</v>
      </c>
      <c r="E24" s="8">
        <v>39.84</v>
      </c>
      <c r="F24" s="8">
        <v>44.03</v>
      </c>
      <c r="G24" s="8">
        <v>48.3</v>
      </c>
      <c r="H24" s="8">
        <v>53.17</v>
      </c>
      <c r="I24" s="8">
        <v>58.06</v>
      </c>
      <c r="J24" s="8">
        <v>63</v>
      </c>
      <c r="K24" s="8">
        <v>67.42</v>
      </c>
      <c r="L24" s="8">
        <v>72.22</v>
      </c>
      <c r="M24" s="8">
        <v>76.63</v>
      </c>
      <c r="N24" s="8">
        <v>81.04</v>
      </c>
      <c r="O24" s="8">
        <v>85.42</v>
      </c>
      <c r="P24" s="8">
        <v>90.26</v>
      </c>
      <c r="Q24" s="8">
        <v>95.56</v>
      </c>
      <c r="R24" s="8">
        <v>99.78</v>
      </c>
      <c r="S24" s="8">
        <v>104.33</v>
      </c>
      <c r="T24" s="8">
        <v>108.63</v>
      </c>
      <c r="U24" s="8">
        <v>113.06</v>
      </c>
      <c r="V24" s="8">
        <v>118.87</v>
      </c>
      <c r="W24" s="8">
        <v>125.39</v>
      </c>
      <c r="X24" s="8">
        <v>131.25</v>
      </c>
      <c r="Y24" s="8">
        <v>135.54</v>
      </c>
      <c r="Z24" s="8">
        <v>140.06</v>
      </c>
      <c r="AA24" s="8"/>
      <c r="AB24" s="8"/>
      <c r="AC24" s="8"/>
      <c r="AD24" s="8"/>
      <c r="AE24" s="8"/>
      <c r="AF24" s="8"/>
      <c r="AG24" s="9"/>
      <c r="AH24" s="10"/>
      <c r="AI24" s="14">
        <v>1900</v>
      </c>
      <c r="AJ24" s="8" t="str">
        <f>ROUND(35.61*(1+AD6)*(1+AD5)+AD7,2)</f>
        <v>0</v>
      </c>
      <c r="AK24" s="8" t="str">
        <f>ROUND(39.84*(1+AD6)*(1+AD5)+AD7,2)</f>
        <v>0</v>
      </c>
      <c r="AL24" s="8" t="str">
        <f>ROUND(44.03*(1+AD6)*(1+AD5)+AD7,2)</f>
        <v>0</v>
      </c>
      <c r="AM24" s="8" t="str">
        <f>ROUND(48.3*(1+AD6)*(1+AD5)+AD7,2)</f>
        <v>0</v>
      </c>
      <c r="AN24" s="8" t="str">
        <f>ROUND(53.17*(1+AD6)*(1+AD5)+AD7,2)</f>
        <v>0</v>
      </c>
      <c r="AO24" s="8" t="str">
        <f>ROUND(58.06*(1+AD6)*(1+AD5)+AD7,2)</f>
        <v>0</v>
      </c>
      <c r="AP24" s="8" t="str">
        <f>ROUND(63*(1+AD6)*(1+AD5)+AD7,2)</f>
        <v>0</v>
      </c>
      <c r="AQ24" s="8" t="str">
        <f>ROUND(67.42*(1+AD6)*(1+AD5)+AD7,2)</f>
        <v>0</v>
      </c>
      <c r="AR24" s="8" t="str">
        <f>ROUND(72.22*(1+AD6)*(1+AD5)+AD7,2)</f>
        <v>0</v>
      </c>
      <c r="AS24" s="8" t="str">
        <f>ROUND(76.63*(1+AD6)*(1+AD5)+AD7,2)</f>
        <v>0</v>
      </c>
      <c r="AT24" s="8" t="str">
        <f>ROUND(81.04*(1+AD6)*(1+AD5)+AD7,2)</f>
        <v>0</v>
      </c>
      <c r="AU24" s="8" t="str">
        <f>ROUND(85.42*(1+AD6)*(1+AD5)+AD7,2)</f>
        <v>0</v>
      </c>
      <c r="AV24" s="8" t="str">
        <f>ROUND(90.26*(1+AD6)*(1+AD5)+AD7,2)</f>
        <v>0</v>
      </c>
      <c r="AW24" s="8" t="str">
        <f>ROUND(95.56*(1+AD6)*(1+AD5)+AD7,2)</f>
        <v>0</v>
      </c>
      <c r="AX24" s="8" t="str">
        <f>ROUND(99.78*(1+AD6)*(1+AD5)+AD7,2)</f>
        <v>0</v>
      </c>
      <c r="AY24" s="8" t="str">
        <f>ROUND(104.33*(1+AD6)*(1+AD5)+AD7,2)</f>
        <v>0</v>
      </c>
      <c r="AZ24" s="8" t="str">
        <f>ROUND(108.63*(1+AD6)*(1+AD5)+AD7,2)</f>
        <v>0</v>
      </c>
      <c r="BA24" s="8" t="str">
        <f>ROUND(113.06*(1+AD6)*(1+AD5)+AD7,2)</f>
        <v>0</v>
      </c>
      <c r="BB24" s="8" t="str">
        <f>ROUND(118.87*(1+AD6)*(1+AD5)+AD7,2)</f>
        <v>0</v>
      </c>
      <c r="BC24" s="8" t="str">
        <f>ROUND(125.39*(1+AD6)*(1+AD5)+AD7,2)</f>
        <v>0</v>
      </c>
      <c r="BD24" s="8" t="str">
        <f>ROUND(131.25*(1+AD6)*(1+AD5)+AD7,2)</f>
        <v>0</v>
      </c>
      <c r="BE24" t="str">
        <f>ROUND(135.54*(1+AD6)*(1+AD5)+AD7,2)</f>
        <v>0</v>
      </c>
      <c r="BF24" t="str">
        <f>ROUND(140.06*(1+AD6)*(1+AD5)+AD7,2)</f>
        <v>0</v>
      </c>
    </row>
    <row r="25" spans="1:58">
      <c r="A25" s="8"/>
      <c r="B25" s="10"/>
      <c r="C25" s="14">
        <v>2000</v>
      </c>
      <c r="D25" s="8">
        <v>35.88</v>
      </c>
      <c r="E25" s="8">
        <v>40.17</v>
      </c>
      <c r="F25" s="8">
        <v>44.47</v>
      </c>
      <c r="G25" s="8">
        <v>48.82</v>
      </c>
      <c r="H25" s="8">
        <v>53.77</v>
      </c>
      <c r="I25" s="8">
        <v>58.72</v>
      </c>
      <c r="J25" s="8">
        <v>63.74</v>
      </c>
      <c r="K25" s="8">
        <v>68.3</v>
      </c>
      <c r="L25" s="8">
        <v>73.13</v>
      </c>
      <c r="M25" s="8">
        <v>77.62</v>
      </c>
      <c r="N25" s="8">
        <v>82.11</v>
      </c>
      <c r="O25" s="8">
        <v>86.57</v>
      </c>
      <c r="P25" s="8">
        <v>91.48</v>
      </c>
      <c r="Q25" s="8">
        <v>96.88</v>
      </c>
      <c r="R25" s="8">
        <v>101.16</v>
      </c>
      <c r="S25" s="8">
        <v>105.78</v>
      </c>
      <c r="T25" s="8">
        <v>110.15</v>
      </c>
      <c r="U25" s="8">
        <v>114.68</v>
      </c>
      <c r="V25" s="8">
        <v>120.58</v>
      </c>
      <c r="W25" s="8">
        <v>127.14</v>
      </c>
      <c r="X25" s="8">
        <v>133.11</v>
      </c>
      <c r="Y25" s="8">
        <v>137.48</v>
      </c>
      <c r="Z25" s="8">
        <v>142.04</v>
      </c>
      <c r="AA25" s="8"/>
      <c r="AB25" s="8"/>
      <c r="AC25" s="8"/>
      <c r="AD25" s="8"/>
      <c r="AE25" s="8"/>
      <c r="AF25" s="8"/>
      <c r="AG25" s="9"/>
      <c r="AH25" s="10"/>
      <c r="AI25" s="14">
        <v>2000</v>
      </c>
      <c r="AJ25" s="8" t="str">
        <f>ROUND(35.88*(1+AD6)*(1+AD5)+AD7,2)</f>
        <v>0</v>
      </c>
      <c r="AK25" s="8" t="str">
        <f>ROUND(40.17*(1+AD6)*(1+AD5)+AD7,2)</f>
        <v>0</v>
      </c>
      <c r="AL25" s="8" t="str">
        <f>ROUND(44.47*(1+AD6)*(1+AD5)+AD7,2)</f>
        <v>0</v>
      </c>
      <c r="AM25" s="8" t="str">
        <f>ROUND(48.82*(1+AD6)*(1+AD5)+AD7,2)</f>
        <v>0</v>
      </c>
      <c r="AN25" s="8" t="str">
        <f>ROUND(53.77*(1+AD6)*(1+AD5)+AD7,2)</f>
        <v>0</v>
      </c>
      <c r="AO25" s="8" t="str">
        <f>ROUND(58.72*(1+AD6)*(1+AD5)+AD7,2)</f>
        <v>0</v>
      </c>
      <c r="AP25" s="8" t="str">
        <f>ROUND(63.74*(1+AD6)*(1+AD5)+AD7,2)</f>
        <v>0</v>
      </c>
      <c r="AQ25" s="8" t="str">
        <f>ROUND(68.3*(1+AD6)*(1+AD5)+AD7,2)</f>
        <v>0</v>
      </c>
      <c r="AR25" s="8" t="str">
        <f>ROUND(73.13*(1+AD6)*(1+AD5)+AD7,2)</f>
        <v>0</v>
      </c>
      <c r="AS25" s="8" t="str">
        <f>ROUND(77.62*(1+AD6)*(1+AD5)+AD7,2)</f>
        <v>0</v>
      </c>
      <c r="AT25" s="8" t="str">
        <f>ROUND(82.11*(1+AD6)*(1+AD5)+AD7,2)</f>
        <v>0</v>
      </c>
      <c r="AU25" s="8" t="str">
        <f>ROUND(86.57*(1+AD6)*(1+AD5)+AD7,2)</f>
        <v>0</v>
      </c>
      <c r="AV25" s="8" t="str">
        <f>ROUND(91.48*(1+AD6)*(1+AD5)+AD7,2)</f>
        <v>0</v>
      </c>
      <c r="AW25" s="8" t="str">
        <f>ROUND(96.88*(1+AD6)*(1+AD5)+AD7,2)</f>
        <v>0</v>
      </c>
      <c r="AX25" s="8" t="str">
        <f>ROUND(101.16*(1+AD6)*(1+AD5)+AD7,2)</f>
        <v>0</v>
      </c>
      <c r="AY25" s="8" t="str">
        <f>ROUND(105.78*(1+AD6)*(1+AD5)+AD7,2)</f>
        <v>0</v>
      </c>
      <c r="AZ25" s="8" t="str">
        <f>ROUND(110.15*(1+AD6)*(1+AD5)+AD7,2)</f>
        <v>0</v>
      </c>
      <c r="BA25" s="8" t="str">
        <f>ROUND(114.68*(1+AD6)*(1+AD5)+AD7,2)</f>
        <v>0</v>
      </c>
      <c r="BB25" s="8" t="str">
        <f>ROUND(120.58*(1+AD6)*(1+AD5)+AD7,2)</f>
        <v>0</v>
      </c>
      <c r="BC25" s="8" t="str">
        <f>ROUND(127.14*(1+AD6)*(1+AD5)+AD7,2)</f>
        <v>0</v>
      </c>
      <c r="BD25" s="8" t="str">
        <f>ROUND(133.11*(1+AD6)*(1+AD5)+AD7,2)</f>
        <v>0</v>
      </c>
      <c r="BE25" t="str">
        <f>ROUND(137.48*(1+AD6)*(1+AD5)+AD7,2)</f>
        <v>0</v>
      </c>
      <c r="BF25" t="str">
        <f>ROUND(142.04*(1+AD6)*(1+AD5)+AD7,2)</f>
        <v>0</v>
      </c>
    </row>
    <row r="26" spans="1:58">
      <c r="A26" s="8"/>
      <c r="B26" s="10"/>
      <c r="C26" s="14">
        <v>2100</v>
      </c>
      <c r="D26" s="8">
        <v>36.15</v>
      </c>
      <c r="E26" s="8">
        <v>40.55</v>
      </c>
      <c r="F26" s="8">
        <v>44.91</v>
      </c>
      <c r="G26" s="8">
        <v>49.32</v>
      </c>
      <c r="H26" s="8">
        <v>54.36</v>
      </c>
      <c r="I26" s="8">
        <v>59.4</v>
      </c>
      <c r="J26" s="8">
        <v>64.51</v>
      </c>
      <c r="K26" s="8">
        <v>69.11</v>
      </c>
      <c r="L26" s="8">
        <v>74.05</v>
      </c>
      <c r="M26" s="8">
        <v>78.59</v>
      </c>
      <c r="N26" s="8">
        <v>83.17</v>
      </c>
      <c r="O26" s="8">
        <v>87.7</v>
      </c>
      <c r="P26" s="8">
        <v>92.7</v>
      </c>
      <c r="Q26" s="8">
        <v>98.16</v>
      </c>
      <c r="R26" s="8">
        <v>102.54</v>
      </c>
      <c r="S26" s="8">
        <v>107.24</v>
      </c>
      <c r="T26" s="8">
        <v>111.68</v>
      </c>
      <c r="U26" s="8">
        <v>116.3</v>
      </c>
      <c r="V26" s="8">
        <v>122.25</v>
      </c>
      <c r="W26" s="8">
        <v>128.93</v>
      </c>
      <c r="X26" s="8">
        <v>134.97</v>
      </c>
      <c r="Y26" s="8">
        <v>139.41</v>
      </c>
      <c r="Z26" s="8">
        <v>144.02</v>
      </c>
      <c r="AA26" s="8"/>
      <c r="AB26" s="8"/>
      <c r="AC26" s="8"/>
      <c r="AD26" s="8"/>
      <c r="AE26" s="8"/>
      <c r="AF26" s="8"/>
      <c r="AG26" s="9"/>
      <c r="AH26" s="10"/>
      <c r="AI26" s="14">
        <v>2100</v>
      </c>
      <c r="AJ26" s="8" t="str">
        <f>ROUND(36.15*(1+AD6)*(1+AD5)+AD7,2)</f>
        <v>0</v>
      </c>
      <c r="AK26" s="8" t="str">
        <f>ROUND(40.55*(1+AD6)*(1+AD5)+AD7,2)</f>
        <v>0</v>
      </c>
      <c r="AL26" s="8" t="str">
        <f>ROUND(44.91*(1+AD6)*(1+AD5)+AD7,2)</f>
        <v>0</v>
      </c>
      <c r="AM26" s="8" t="str">
        <f>ROUND(49.32*(1+AD6)*(1+AD5)+AD7,2)</f>
        <v>0</v>
      </c>
      <c r="AN26" s="8" t="str">
        <f>ROUND(54.36*(1+AD6)*(1+AD5)+AD7,2)</f>
        <v>0</v>
      </c>
      <c r="AO26" s="8" t="str">
        <f>ROUND(59.4*(1+AD6)*(1+AD5)+AD7,2)</f>
        <v>0</v>
      </c>
      <c r="AP26" s="8" t="str">
        <f>ROUND(64.51*(1+AD6)*(1+AD5)+AD7,2)</f>
        <v>0</v>
      </c>
      <c r="AQ26" s="8" t="str">
        <f>ROUND(69.11*(1+AD6)*(1+AD5)+AD7,2)</f>
        <v>0</v>
      </c>
      <c r="AR26" s="8" t="str">
        <f>ROUND(74.05*(1+AD6)*(1+AD5)+AD7,2)</f>
        <v>0</v>
      </c>
      <c r="AS26" s="8" t="str">
        <f>ROUND(78.59*(1+AD6)*(1+AD5)+AD7,2)</f>
        <v>0</v>
      </c>
      <c r="AT26" s="8" t="str">
        <f>ROUND(83.17*(1+AD6)*(1+AD5)+AD7,2)</f>
        <v>0</v>
      </c>
      <c r="AU26" s="8" t="str">
        <f>ROUND(87.7*(1+AD6)*(1+AD5)+AD7,2)</f>
        <v>0</v>
      </c>
      <c r="AV26" s="8" t="str">
        <f>ROUND(92.7*(1+AD6)*(1+AD5)+AD7,2)</f>
        <v>0</v>
      </c>
      <c r="AW26" s="8" t="str">
        <f>ROUND(98.16*(1+AD6)*(1+AD5)+AD7,2)</f>
        <v>0</v>
      </c>
      <c r="AX26" s="8" t="str">
        <f>ROUND(102.54*(1+AD6)*(1+AD5)+AD7,2)</f>
        <v>0</v>
      </c>
      <c r="AY26" s="8" t="str">
        <f>ROUND(107.24*(1+AD6)*(1+AD5)+AD7,2)</f>
        <v>0</v>
      </c>
      <c r="AZ26" s="8" t="str">
        <f>ROUND(111.68*(1+AD6)*(1+AD5)+AD7,2)</f>
        <v>0</v>
      </c>
      <c r="BA26" s="8" t="str">
        <f>ROUND(116.3*(1+AD6)*(1+AD5)+AD7,2)</f>
        <v>0</v>
      </c>
      <c r="BB26" s="8" t="str">
        <f>ROUND(122.25*(1+AD6)*(1+AD5)+AD7,2)</f>
        <v>0</v>
      </c>
      <c r="BC26" s="8" t="str">
        <f>ROUND(128.93*(1+AD6)*(1+AD5)+AD7,2)</f>
        <v>0</v>
      </c>
      <c r="BD26" s="8" t="str">
        <f>ROUND(134.97*(1+AD6)*(1+AD5)+AD7,2)</f>
        <v>0</v>
      </c>
      <c r="BE26" t="str">
        <f>ROUND(139.41*(1+AD6)*(1+AD5)+AD7,2)</f>
        <v>0</v>
      </c>
      <c r="BF26" t="str">
        <f>ROUND(144.02*(1+AD6)*(1+AD5)+AD7,2)</f>
        <v>0</v>
      </c>
    </row>
    <row r="27" spans="1:58">
      <c r="A27" s="8"/>
      <c r="B27" s="10"/>
      <c r="C27" s="14">
        <v>2200</v>
      </c>
      <c r="D27" s="8">
        <v>36.44</v>
      </c>
      <c r="E27" s="8">
        <v>40.9</v>
      </c>
      <c r="F27" s="8">
        <v>45.33</v>
      </c>
      <c r="G27" s="8">
        <v>49.85</v>
      </c>
      <c r="H27" s="8">
        <v>54.94</v>
      </c>
      <c r="I27" s="8">
        <v>60.07</v>
      </c>
      <c r="J27" s="8">
        <v>65.33</v>
      </c>
      <c r="K27" s="8">
        <v>69.94</v>
      </c>
      <c r="L27" s="8">
        <v>74.95</v>
      </c>
      <c r="M27" s="8">
        <v>79.59</v>
      </c>
      <c r="N27" s="8">
        <v>84.23</v>
      </c>
      <c r="O27" s="8">
        <v>88.84</v>
      </c>
      <c r="P27" s="8">
        <v>93.93</v>
      </c>
      <c r="Q27" s="8">
        <v>99.48</v>
      </c>
      <c r="R27" s="8">
        <v>103.92</v>
      </c>
      <c r="S27" s="8">
        <v>108.72</v>
      </c>
      <c r="T27" s="8">
        <v>113.23</v>
      </c>
      <c r="U27" s="8">
        <v>117.94</v>
      </c>
      <c r="V27" s="8">
        <v>123.95</v>
      </c>
      <c r="W27" s="8">
        <v>130.7</v>
      </c>
      <c r="X27" s="8">
        <v>136.82</v>
      </c>
      <c r="Y27" s="8">
        <v>141.35</v>
      </c>
      <c r="Z27" s="8">
        <v>146.02</v>
      </c>
      <c r="AA27" s="8"/>
      <c r="AB27" s="8"/>
      <c r="AC27" s="8"/>
      <c r="AD27" s="8"/>
      <c r="AE27" s="8"/>
      <c r="AF27" s="8"/>
      <c r="AG27" s="9"/>
      <c r="AH27" s="10"/>
      <c r="AI27" s="14">
        <v>2200</v>
      </c>
      <c r="AJ27" s="8" t="str">
        <f>ROUND(36.44*(1+AD6)*(1+AD5)+AD7,2)</f>
        <v>0</v>
      </c>
      <c r="AK27" s="8" t="str">
        <f>ROUND(40.9*(1+AD6)*(1+AD5)+AD7,2)</f>
        <v>0</v>
      </c>
      <c r="AL27" s="8" t="str">
        <f>ROUND(45.33*(1+AD6)*(1+AD5)+AD7,2)</f>
        <v>0</v>
      </c>
      <c r="AM27" s="8" t="str">
        <f>ROUND(49.85*(1+AD6)*(1+AD5)+AD7,2)</f>
        <v>0</v>
      </c>
      <c r="AN27" s="8" t="str">
        <f>ROUND(54.94*(1+AD6)*(1+AD5)+AD7,2)</f>
        <v>0</v>
      </c>
      <c r="AO27" s="8" t="str">
        <f>ROUND(60.07*(1+AD6)*(1+AD5)+AD7,2)</f>
        <v>0</v>
      </c>
      <c r="AP27" s="8" t="str">
        <f>ROUND(65.33*(1+AD6)*(1+AD5)+AD7,2)</f>
        <v>0</v>
      </c>
      <c r="AQ27" s="8" t="str">
        <f>ROUND(69.94*(1+AD6)*(1+AD5)+AD7,2)</f>
        <v>0</v>
      </c>
      <c r="AR27" s="8" t="str">
        <f>ROUND(74.95*(1+AD6)*(1+AD5)+AD7,2)</f>
        <v>0</v>
      </c>
      <c r="AS27" s="8" t="str">
        <f>ROUND(79.59*(1+AD6)*(1+AD5)+AD7,2)</f>
        <v>0</v>
      </c>
      <c r="AT27" s="8" t="str">
        <f>ROUND(84.23*(1+AD6)*(1+AD5)+AD7,2)</f>
        <v>0</v>
      </c>
      <c r="AU27" s="8" t="str">
        <f>ROUND(88.84*(1+AD6)*(1+AD5)+AD7,2)</f>
        <v>0</v>
      </c>
      <c r="AV27" s="8" t="str">
        <f>ROUND(93.93*(1+AD6)*(1+AD5)+AD7,2)</f>
        <v>0</v>
      </c>
      <c r="AW27" s="8" t="str">
        <f>ROUND(99.48*(1+AD6)*(1+AD5)+AD7,2)</f>
        <v>0</v>
      </c>
      <c r="AX27" s="8" t="str">
        <f>ROUND(103.92*(1+AD6)*(1+AD5)+AD7,2)</f>
        <v>0</v>
      </c>
      <c r="AY27" s="8" t="str">
        <f>ROUND(108.72*(1+AD6)*(1+AD5)+AD7,2)</f>
        <v>0</v>
      </c>
      <c r="AZ27" s="8" t="str">
        <f>ROUND(113.23*(1+AD6)*(1+AD5)+AD7,2)</f>
        <v>0</v>
      </c>
      <c r="BA27" s="8" t="str">
        <f>ROUND(117.94*(1+AD6)*(1+AD5)+AD7,2)</f>
        <v>0</v>
      </c>
      <c r="BB27" s="8" t="str">
        <f>ROUND(123.95*(1+AD6)*(1+AD5)+AD7,2)</f>
        <v>0</v>
      </c>
      <c r="BC27" s="8" t="str">
        <f>ROUND(130.7*(1+AD6)*(1+AD5)+AD7,2)</f>
        <v>0</v>
      </c>
      <c r="BD27" s="8" t="str">
        <f>ROUND(136.82*(1+AD6)*(1+AD5)+AD7,2)</f>
        <v>0</v>
      </c>
      <c r="BE27" t="str">
        <f>ROUND(141.35*(1+AD6)*(1+AD5)+AD7,2)</f>
        <v>0</v>
      </c>
      <c r="BF27" t="str">
        <f>ROUND(146.02*(1+AD6)*(1+AD5)+AD7,2)</f>
        <v>0</v>
      </c>
    </row>
    <row r="28" spans="1:58">
      <c r="A28" s="8"/>
      <c r="B28" s="10"/>
      <c r="C28" s="14">
        <v>2300</v>
      </c>
      <c r="D28" s="8">
        <v>36.72</v>
      </c>
      <c r="E28" s="8">
        <v>41.27</v>
      </c>
      <c r="F28" s="8">
        <v>45.77</v>
      </c>
      <c r="G28" s="8">
        <v>50.35</v>
      </c>
      <c r="H28" s="8">
        <v>55.53</v>
      </c>
      <c r="I28" s="8">
        <v>60.74</v>
      </c>
      <c r="J28" s="8">
        <v>66</v>
      </c>
      <c r="K28" s="8">
        <v>70.77</v>
      </c>
      <c r="L28" s="8">
        <v>75.86</v>
      </c>
      <c r="M28" s="8">
        <v>80.57</v>
      </c>
      <c r="N28" s="8">
        <v>84.45</v>
      </c>
      <c r="O28" s="8">
        <v>89.98</v>
      </c>
      <c r="P28" s="8">
        <v>95.15</v>
      </c>
      <c r="Q28" s="8">
        <v>100.76</v>
      </c>
      <c r="R28" s="8">
        <v>105.29</v>
      </c>
      <c r="S28" s="8">
        <v>110.16</v>
      </c>
      <c r="T28" s="8">
        <v>114.74</v>
      </c>
      <c r="U28" s="8">
        <v>119.55</v>
      </c>
      <c r="V28" s="8">
        <v>125.66</v>
      </c>
      <c r="W28" s="8">
        <v>132.46</v>
      </c>
      <c r="X28" s="8">
        <v>138.66</v>
      </c>
      <c r="Y28" s="8">
        <v>143.27</v>
      </c>
      <c r="Z28" s="8">
        <v>147.99</v>
      </c>
      <c r="AA28" s="8"/>
      <c r="AB28" s="8"/>
      <c r="AC28" s="8"/>
      <c r="AD28" s="8"/>
      <c r="AE28" s="8"/>
      <c r="AF28" s="8"/>
      <c r="AG28" s="9"/>
      <c r="AH28" s="10"/>
      <c r="AI28" s="14">
        <v>2300</v>
      </c>
      <c r="AJ28" s="8" t="str">
        <f>ROUND(36.72*(1+AD6)*(1+AD5)+AD7,2)</f>
        <v>0</v>
      </c>
      <c r="AK28" s="8" t="str">
        <f>ROUND(41.27*(1+AD6)*(1+AD5)+AD7,2)</f>
        <v>0</v>
      </c>
      <c r="AL28" s="8" t="str">
        <f>ROUND(45.77*(1+AD6)*(1+AD5)+AD7,2)</f>
        <v>0</v>
      </c>
      <c r="AM28" s="8" t="str">
        <f>ROUND(50.35*(1+AD6)*(1+AD5)+AD7,2)</f>
        <v>0</v>
      </c>
      <c r="AN28" s="8" t="str">
        <f>ROUND(55.53*(1+AD6)*(1+AD5)+AD7,2)</f>
        <v>0</v>
      </c>
      <c r="AO28" s="8" t="str">
        <f>ROUND(60.74*(1+AD6)*(1+AD5)+AD7,2)</f>
        <v>0</v>
      </c>
      <c r="AP28" s="8" t="str">
        <f>ROUND(66*(1+AD6)*(1+AD5)+AD7,2)</f>
        <v>0</v>
      </c>
      <c r="AQ28" s="8" t="str">
        <f>ROUND(70.77*(1+AD6)*(1+AD5)+AD7,2)</f>
        <v>0</v>
      </c>
      <c r="AR28" s="8" t="str">
        <f>ROUND(75.86*(1+AD6)*(1+AD5)+AD7,2)</f>
        <v>0</v>
      </c>
      <c r="AS28" s="8" t="str">
        <f>ROUND(80.57*(1+AD6)*(1+AD5)+AD7,2)</f>
        <v>0</v>
      </c>
      <c r="AT28" s="8" t="str">
        <f>ROUND(84.45*(1+AD6)*(1+AD5)+AD7,2)</f>
        <v>0</v>
      </c>
      <c r="AU28" s="8" t="str">
        <f>ROUND(89.98*(1+AD6)*(1+AD5)+AD7,2)</f>
        <v>0</v>
      </c>
      <c r="AV28" s="8" t="str">
        <f>ROUND(95.15*(1+AD6)*(1+AD5)+AD7,2)</f>
        <v>0</v>
      </c>
      <c r="AW28" s="8" t="str">
        <f>ROUND(100.76*(1+AD6)*(1+AD5)+AD7,2)</f>
        <v>0</v>
      </c>
      <c r="AX28" s="8" t="str">
        <f>ROUND(105.29*(1+AD6)*(1+AD5)+AD7,2)</f>
        <v>0</v>
      </c>
      <c r="AY28" s="8" t="str">
        <f>ROUND(110.16*(1+AD6)*(1+AD5)+AD7,2)</f>
        <v>0</v>
      </c>
      <c r="AZ28" s="8" t="str">
        <f>ROUND(114.74*(1+AD6)*(1+AD5)+AD7,2)</f>
        <v>0</v>
      </c>
      <c r="BA28" s="8" t="str">
        <f>ROUND(119.55*(1+AD6)*(1+AD5)+AD7,2)</f>
        <v>0</v>
      </c>
      <c r="BB28" s="8" t="str">
        <f>ROUND(125.66*(1+AD6)*(1+AD5)+AD7,2)</f>
        <v>0</v>
      </c>
      <c r="BC28" s="8" t="str">
        <f>ROUND(132.46*(1+AD6)*(1+AD5)+AD7,2)</f>
        <v>0</v>
      </c>
      <c r="BD28" s="8" t="str">
        <f>ROUND(138.66*(1+AD6)*(1+AD5)+AD7,2)</f>
        <v>0</v>
      </c>
      <c r="BE28" t="str">
        <f>ROUND(143.27*(1+AD6)*(1+AD5)+AD7,2)</f>
        <v>0</v>
      </c>
      <c r="BF28" t="str">
        <f>ROUND(147.99*(1+AD6)*(1+AD5)+AD7,2)</f>
        <v>0</v>
      </c>
    </row>
    <row r="29" spans="1:58">
      <c r="A29" s="8"/>
      <c r="B29" s="10"/>
      <c r="C29" s="14">
        <v>2400</v>
      </c>
      <c r="D29" s="8">
        <v>37</v>
      </c>
      <c r="E29" s="8">
        <v>41.61</v>
      </c>
      <c r="F29" s="8">
        <v>46.2</v>
      </c>
      <c r="G29" s="8">
        <v>50.86</v>
      </c>
      <c r="H29" s="8">
        <v>56.13</v>
      </c>
      <c r="I29" s="8">
        <v>61.4</v>
      </c>
      <c r="J29" s="8">
        <v>66.76</v>
      </c>
      <c r="K29" s="8">
        <v>71.6</v>
      </c>
      <c r="L29" s="8">
        <v>76.76</v>
      </c>
      <c r="M29" s="8">
        <v>81.56</v>
      </c>
      <c r="N29" s="8">
        <v>86.37</v>
      </c>
      <c r="O29" s="8">
        <v>91.13</v>
      </c>
      <c r="P29" s="8">
        <v>96.36</v>
      </c>
      <c r="Q29" s="8">
        <v>102.08</v>
      </c>
      <c r="R29" s="8">
        <v>106.69</v>
      </c>
      <c r="S29" s="8">
        <v>111.62</v>
      </c>
      <c r="T29" s="8">
        <v>116.29</v>
      </c>
      <c r="U29" s="8">
        <v>121.17</v>
      </c>
      <c r="V29" s="8">
        <v>127.35</v>
      </c>
      <c r="W29" s="8">
        <v>134.25</v>
      </c>
      <c r="X29" s="8">
        <v>140.51</v>
      </c>
      <c r="Y29" s="8">
        <v>145.21</v>
      </c>
      <c r="Z29" s="8">
        <v>149.99</v>
      </c>
      <c r="AA29" s="8"/>
      <c r="AB29" s="8"/>
      <c r="AC29" s="8"/>
      <c r="AD29" s="8"/>
      <c r="AE29" s="8"/>
      <c r="AF29" s="8"/>
      <c r="AG29" s="9"/>
      <c r="AH29" s="10"/>
      <c r="AI29" s="14">
        <v>2400</v>
      </c>
      <c r="AJ29" s="8" t="str">
        <f>ROUND(37*(1+AD6)*(1+AD5)+AD7,2)</f>
        <v>0</v>
      </c>
      <c r="AK29" s="8" t="str">
        <f>ROUND(41.61*(1+AD6)*(1+AD5)+AD7,2)</f>
        <v>0</v>
      </c>
      <c r="AL29" s="8" t="str">
        <f>ROUND(46.2*(1+AD6)*(1+AD5)+AD7,2)</f>
        <v>0</v>
      </c>
      <c r="AM29" s="8" t="str">
        <f>ROUND(50.86*(1+AD6)*(1+AD5)+AD7,2)</f>
        <v>0</v>
      </c>
      <c r="AN29" s="8" t="str">
        <f>ROUND(56.13*(1+AD6)*(1+AD5)+AD7,2)</f>
        <v>0</v>
      </c>
      <c r="AO29" s="8" t="str">
        <f>ROUND(61.4*(1+AD6)*(1+AD5)+AD7,2)</f>
        <v>0</v>
      </c>
      <c r="AP29" s="8" t="str">
        <f>ROUND(66.76*(1+AD6)*(1+AD5)+AD7,2)</f>
        <v>0</v>
      </c>
      <c r="AQ29" s="8" t="str">
        <f>ROUND(71.6*(1+AD6)*(1+AD5)+AD7,2)</f>
        <v>0</v>
      </c>
      <c r="AR29" s="8" t="str">
        <f>ROUND(76.76*(1+AD6)*(1+AD5)+AD7,2)</f>
        <v>0</v>
      </c>
      <c r="AS29" s="8" t="str">
        <f>ROUND(81.56*(1+AD6)*(1+AD5)+AD7,2)</f>
        <v>0</v>
      </c>
      <c r="AT29" s="8" t="str">
        <f>ROUND(86.37*(1+AD6)*(1+AD5)+AD7,2)</f>
        <v>0</v>
      </c>
      <c r="AU29" s="8" t="str">
        <f>ROUND(91.13*(1+AD6)*(1+AD5)+AD7,2)</f>
        <v>0</v>
      </c>
      <c r="AV29" s="8" t="str">
        <f>ROUND(96.36*(1+AD6)*(1+AD5)+AD7,2)</f>
        <v>0</v>
      </c>
      <c r="AW29" s="8" t="str">
        <f>ROUND(102.08*(1+AD6)*(1+AD5)+AD7,2)</f>
        <v>0</v>
      </c>
      <c r="AX29" s="8" t="str">
        <f>ROUND(106.69*(1+AD6)*(1+AD5)+AD7,2)</f>
        <v>0</v>
      </c>
      <c r="AY29" s="8" t="str">
        <f>ROUND(111.62*(1+AD6)*(1+AD5)+AD7,2)</f>
        <v>0</v>
      </c>
      <c r="AZ29" s="8" t="str">
        <f>ROUND(116.29*(1+AD6)*(1+AD5)+AD7,2)</f>
        <v>0</v>
      </c>
      <c r="BA29" s="8" t="str">
        <f>ROUND(121.17*(1+AD6)*(1+AD5)+AD7,2)</f>
        <v>0</v>
      </c>
      <c r="BB29" s="8" t="str">
        <f>ROUND(127.35*(1+AD6)*(1+AD5)+AD7,2)</f>
        <v>0</v>
      </c>
      <c r="BC29" s="8" t="str">
        <f>ROUND(134.25*(1+AD6)*(1+AD5)+AD7,2)</f>
        <v>0</v>
      </c>
      <c r="BD29" s="8" t="str">
        <f>ROUND(140.51*(1+AD6)*(1+AD5)+AD7,2)</f>
        <v>0</v>
      </c>
      <c r="BE29" t="str">
        <f>ROUND(145.21*(1+AD6)*(1+AD5)+AD7,2)</f>
        <v>0</v>
      </c>
      <c r="BF29" t="str">
        <f>ROUND(149.99*(1+AD6)*(1+AD5)+AD7,2)</f>
        <v>0</v>
      </c>
    </row>
    <row r="30" spans="1:58">
      <c r="A30" s="8"/>
      <c r="B30" s="10"/>
      <c r="C30" s="14">
        <v>2500</v>
      </c>
      <c r="D30" s="8">
        <v>37.91</v>
      </c>
      <c r="E30" s="8">
        <v>42.66</v>
      </c>
      <c r="F30" s="8">
        <v>47.39</v>
      </c>
      <c r="G30" s="8">
        <v>52.18</v>
      </c>
      <c r="H30" s="8">
        <v>57.56</v>
      </c>
      <c r="I30" s="8">
        <v>62.97</v>
      </c>
      <c r="J30" s="8">
        <v>68.44</v>
      </c>
      <c r="K30" s="8">
        <v>73.41</v>
      </c>
      <c r="L30" s="8">
        <v>78.72</v>
      </c>
      <c r="M30" s="8">
        <v>83.64</v>
      </c>
      <c r="N30" s="8">
        <v>88.58</v>
      </c>
      <c r="O30" s="8">
        <v>93.47</v>
      </c>
      <c r="P30" s="8">
        <v>98.83</v>
      </c>
      <c r="Q30" s="8">
        <v>104.68</v>
      </c>
      <c r="R30" s="8">
        <v>109.43</v>
      </c>
      <c r="S30" s="8">
        <v>114.49</v>
      </c>
      <c r="T30" s="8">
        <v>119.3</v>
      </c>
      <c r="U30" s="8">
        <v>124.29</v>
      </c>
      <c r="V30" s="8">
        <v>130.62</v>
      </c>
      <c r="W30" s="8">
        <v>137.64</v>
      </c>
      <c r="X30" s="8">
        <v>144.04</v>
      </c>
      <c r="Y30" s="8">
        <v>148.85</v>
      </c>
      <c r="Z30" s="8">
        <v>153.76</v>
      </c>
      <c r="AA30" s="8"/>
      <c r="AB30" s="8"/>
      <c r="AC30" s="8"/>
      <c r="AD30" s="8"/>
      <c r="AE30" s="8"/>
      <c r="AF30" s="8"/>
      <c r="AG30" s="9"/>
      <c r="AH30" s="10"/>
      <c r="AI30" s="14">
        <v>2500</v>
      </c>
      <c r="AJ30" s="8" t="str">
        <f>ROUND(37.91*(1+AD6)*(1+AD5)+AD7,2)</f>
        <v>0</v>
      </c>
      <c r="AK30" s="8" t="str">
        <f>ROUND(42.66*(1+AD6)*(1+AD5)+AD7,2)</f>
        <v>0</v>
      </c>
      <c r="AL30" s="8" t="str">
        <f>ROUND(47.39*(1+AD6)*(1+AD5)+AD7,2)</f>
        <v>0</v>
      </c>
      <c r="AM30" s="8" t="str">
        <f>ROUND(52.18*(1+AD6)*(1+AD5)+AD7,2)</f>
        <v>0</v>
      </c>
      <c r="AN30" s="8" t="str">
        <f>ROUND(57.56*(1+AD6)*(1+AD5)+AD7,2)</f>
        <v>0</v>
      </c>
      <c r="AO30" s="8" t="str">
        <f>ROUND(62.97*(1+AD6)*(1+AD5)+AD7,2)</f>
        <v>0</v>
      </c>
      <c r="AP30" s="8" t="str">
        <f>ROUND(68.44*(1+AD6)*(1+AD5)+AD7,2)</f>
        <v>0</v>
      </c>
      <c r="AQ30" s="8" t="str">
        <f>ROUND(73.41*(1+AD6)*(1+AD5)+AD7,2)</f>
        <v>0</v>
      </c>
      <c r="AR30" s="8" t="str">
        <f>ROUND(78.72*(1+AD6)*(1+AD5)+AD7,2)</f>
        <v>0</v>
      </c>
      <c r="AS30" s="8" t="str">
        <f>ROUND(83.64*(1+AD6)*(1+AD5)+AD7,2)</f>
        <v>0</v>
      </c>
      <c r="AT30" s="8" t="str">
        <f>ROUND(88.58*(1+AD6)*(1+AD5)+AD7,2)</f>
        <v>0</v>
      </c>
      <c r="AU30" s="8" t="str">
        <f>ROUND(93.47*(1+AD6)*(1+AD5)+AD7,2)</f>
        <v>0</v>
      </c>
      <c r="AV30" s="8" t="str">
        <f>ROUND(98.83*(1+AD6)*(1+AD5)+AD7,2)</f>
        <v>0</v>
      </c>
      <c r="AW30" s="8" t="str">
        <f>ROUND(104.68*(1+AD6)*(1+AD5)+AD7,2)</f>
        <v>0</v>
      </c>
      <c r="AX30" s="8" t="str">
        <f>ROUND(109.43*(1+AD6)*(1+AD5)+AD7,2)</f>
        <v>0</v>
      </c>
      <c r="AY30" s="8" t="str">
        <f>ROUND(114.49*(1+AD6)*(1+AD5)+AD7,2)</f>
        <v>0</v>
      </c>
      <c r="AZ30" s="8" t="str">
        <f>ROUND(119.3*(1+AD6)*(1+AD5)+AD7,2)</f>
        <v>0</v>
      </c>
      <c r="BA30" s="8" t="str">
        <f>ROUND(124.29*(1+AD6)*(1+AD5)+AD7,2)</f>
        <v>0</v>
      </c>
      <c r="BB30" s="8" t="str">
        <f>ROUND(130.62*(1+AD6)*(1+AD5)+AD7,2)</f>
        <v>0</v>
      </c>
      <c r="BC30" s="8" t="str">
        <f>ROUND(137.64*(1+AD6)*(1+AD5)+AD7,2)</f>
        <v>0</v>
      </c>
      <c r="BD30" s="8" t="str">
        <f>ROUND(144.04*(1+AD6)*(1+AD5)+AD7,2)</f>
        <v>0</v>
      </c>
      <c r="BE30" t="str">
        <f>ROUND(148.85*(1+AD6)*(1+AD5)+AD7,2)</f>
        <v>0</v>
      </c>
      <c r="BF30" t="str">
        <f>ROUND(153.76*(1+AD6)*(1+AD5)+AD7,2)</f>
        <v>0</v>
      </c>
    </row>
    <row r="31" spans="1:58">
      <c r="A31" s="8"/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9"/>
      <c r="AH31" s="9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1:58">
      <c r="A32" s="8"/>
      <c r="B32" s="9"/>
      <c r="C32" s="12" t="s">
        <v>16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8"/>
      <c r="AB32" s="8"/>
      <c r="AC32" s="8"/>
      <c r="AD32" s="8"/>
      <c r="AE32" s="8"/>
      <c r="AF32" s="8"/>
      <c r="AG32" s="9"/>
      <c r="AH32" s="9"/>
      <c r="AI32" s="12" t="s">
        <v>16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5"/>
      <c r="BF32" s="5"/>
    </row>
    <row r="33" spans="1:58">
      <c r="A33" s="8"/>
      <c r="B33" s="9"/>
      <c r="C33" s="1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8"/>
      <c r="AB33" s="8"/>
      <c r="AC33" s="8"/>
      <c r="AD33" s="8"/>
      <c r="AE33" s="8"/>
      <c r="AF33" s="8"/>
      <c r="AG33" s="9"/>
      <c r="AH33" s="9"/>
      <c r="AI33" s="12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5"/>
      <c r="BF33" s="5"/>
    </row>
    <row r="34" spans="1:58">
      <c r="A34" s="8"/>
      <c r="B34" s="9"/>
      <c r="C34" s="13" t="s">
        <v>13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8"/>
      <c r="AB34" s="8"/>
      <c r="AC34" s="8"/>
      <c r="AD34" s="8"/>
      <c r="AE34" s="8"/>
      <c r="AF34" s="8"/>
      <c r="AG34" s="9"/>
      <c r="AH34" s="9"/>
      <c r="AI34" s="13" t="s">
        <v>13</v>
      </c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6"/>
      <c r="BF34" s="6"/>
    </row>
    <row r="35" spans="1:58">
      <c r="A35" s="8"/>
      <c r="B35" s="10"/>
      <c r="C35" s="14" t="s">
        <v>14</v>
      </c>
      <c r="D35" s="14">
        <v>300</v>
      </c>
      <c r="E35" s="14">
        <v>400</v>
      </c>
      <c r="F35" s="14">
        <v>500</v>
      </c>
      <c r="G35" s="14">
        <v>600</v>
      </c>
      <c r="H35" s="14">
        <v>700</v>
      </c>
      <c r="I35" s="14">
        <v>800</v>
      </c>
      <c r="J35" s="14">
        <v>900</v>
      </c>
      <c r="K35" s="14">
        <v>1000</v>
      </c>
      <c r="L35" s="14">
        <v>1100</v>
      </c>
      <c r="M35" s="14">
        <v>1200</v>
      </c>
      <c r="N35" s="14">
        <v>1300</v>
      </c>
      <c r="O35" s="14">
        <v>1400</v>
      </c>
      <c r="P35" s="14">
        <v>1500</v>
      </c>
      <c r="Q35" s="14">
        <v>1600</v>
      </c>
      <c r="R35" s="14">
        <v>1700</v>
      </c>
      <c r="S35" s="14">
        <v>1800</v>
      </c>
      <c r="T35" s="14">
        <v>1900</v>
      </c>
      <c r="U35" s="14">
        <v>2000</v>
      </c>
      <c r="V35" s="14">
        <v>2100</v>
      </c>
      <c r="W35" s="14">
        <v>2200</v>
      </c>
      <c r="X35" s="14">
        <v>2300</v>
      </c>
      <c r="Y35" s="14">
        <v>2400</v>
      </c>
      <c r="Z35" s="14">
        <v>2500</v>
      </c>
      <c r="AA35" s="8"/>
      <c r="AB35" s="8"/>
      <c r="AC35" s="8"/>
      <c r="AD35" s="8"/>
      <c r="AE35" s="8"/>
      <c r="AF35" s="8"/>
      <c r="AG35" s="9"/>
      <c r="AH35" s="10"/>
      <c r="AI35" s="14" t="s">
        <v>14</v>
      </c>
      <c r="AJ35" s="14">
        <v>300</v>
      </c>
      <c r="AK35" s="14">
        <v>400</v>
      </c>
      <c r="AL35" s="14">
        <v>500</v>
      </c>
      <c r="AM35" s="14">
        <v>600</v>
      </c>
      <c r="AN35" s="14">
        <v>700</v>
      </c>
      <c r="AO35" s="14">
        <v>800</v>
      </c>
      <c r="AP35" s="14">
        <v>900</v>
      </c>
      <c r="AQ35" s="14">
        <v>1000</v>
      </c>
      <c r="AR35" s="14">
        <v>1100</v>
      </c>
      <c r="AS35" s="14">
        <v>1200</v>
      </c>
      <c r="AT35" s="14">
        <v>1300</v>
      </c>
      <c r="AU35" s="14">
        <v>1400</v>
      </c>
      <c r="AV35" s="14">
        <v>1500</v>
      </c>
      <c r="AW35" s="14">
        <v>1600</v>
      </c>
      <c r="AX35" s="14">
        <v>1700</v>
      </c>
      <c r="AY35" s="14">
        <v>1800</v>
      </c>
      <c r="AZ35" s="14">
        <v>1900</v>
      </c>
      <c r="BA35" s="14">
        <v>2000</v>
      </c>
      <c r="BB35" s="14">
        <v>2100</v>
      </c>
      <c r="BC35" s="14">
        <v>2200</v>
      </c>
      <c r="BD35" s="14">
        <v>2300</v>
      </c>
      <c r="BE35" s="7">
        <v>2400</v>
      </c>
      <c r="BF35" s="7">
        <v>2500</v>
      </c>
    </row>
    <row r="36" spans="1:58">
      <c r="A36" s="8"/>
      <c r="B36" s="10" t="s">
        <v>15</v>
      </c>
      <c r="C36" s="14">
        <v>1000</v>
      </c>
      <c r="D36" s="8">
        <v>38.47</v>
      </c>
      <c r="E36" s="8">
        <v>42.61</v>
      </c>
      <c r="F36" s="8">
        <v>46.75</v>
      </c>
      <c r="G36" s="8">
        <v>50.93</v>
      </c>
      <c r="H36" s="8">
        <v>55.73</v>
      </c>
      <c r="I36" s="8">
        <v>60.56</v>
      </c>
      <c r="J36" s="8">
        <v>65.4</v>
      </c>
      <c r="K36" s="8">
        <v>69.78</v>
      </c>
      <c r="L36" s="8">
        <v>74.57</v>
      </c>
      <c r="M36" s="8">
        <v>78.9</v>
      </c>
      <c r="N36" s="8">
        <v>83.24</v>
      </c>
      <c r="O36" s="8">
        <v>87.54</v>
      </c>
      <c r="P36" s="8">
        <v>92.32</v>
      </c>
      <c r="Q36" s="8">
        <v>97.64</v>
      </c>
      <c r="R36" s="8">
        <v>101.78</v>
      </c>
      <c r="S36" s="8">
        <v>106.24</v>
      </c>
      <c r="T36" s="8">
        <v>110.47</v>
      </c>
      <c r="U36" s="8">
        <v>114.84</v>
      </c>
      <c r="V36" s="8">
        <v>120.65</v>
      </c>
      <c r="W36" s="8">
        <v>127.08</v>
      </c>
      <c r="X36" s="8">
        <v>132.88</v>
      </c>
      <c r="Y36" s="8">
        <v>137.1</v>
      </c>
      <c r="Z36" s="8">
        <v>141.64</v>
      </c>
      <c r="AA36" s="8"/>
      <c r="AB36" s="8"/>
      <c r="AC36" s="8"/>
      <c r="AD36" s="8"/>
      <c r="AE36" s="8"/>
      <c r="AF36" s="8"/>
      <c r="AG36" s="9"/>
      <c r="AH36" s="10" t="s">
        <v>15</v>
      </c>
      <c r="AI36" s="14">
        <v>1000</v>
      </c>
      <c r="AJ36" s="8" t="str">
        <f>ROUND(38.47*(1+AD6)*(1+AD5)+AD7,2)</f>
        <v>0</v>
      </c>
      <c r="AK36" s="8" t="str">
        <f>ROUND(42.61*(1+AD6)*(1+AD5)+AD7,2)</f>
        <v>0</v>
      </c>
      <c r="AL36" s="8" t="str">
        <f>ROUND(46.75*(1+AD6)*(1+AD5)+AD7,2)</f>
        <v>0</v>
      </c>
      <c r="AM36" s="8" t="str">
        <f>ROUND(50.93*(1+AD6)*(1+AD5)+AD7,2)</f>
        <v>0</v>
      </c>
      <c r="AN36" s="8" t="str">
        <f>ROUND(55.73*(1+AD6)*(1+AD5)+AD7,2)</f>
        <v>0</v>
      </c>
      <c r="AO36" s="8" t="str">
        <f>ROUND(60.56*(1+AD6)*(1+AD5)+AD7,2)</f>
        <v>0</v>
      </c>
      <c r="AP36" s="8" t="str">
        <f>ROUND(65.4*(1+AD6)*(1+AD5)+AD7,2)</f>
        <v>0</v>
      </c>
      <c r="AQ36" s="8" t="str">
        <f>ROUND(69.78*(1+AD6)*(1+AD5)+AD7,2)</f>
        <v>0</v>
      </c>
      <c r="AR36" s="8" t="str">
        <f>ROUND(74.57*(1+AD6)*(1+AD5)+AD7,2)</f>
        <v>0</v>
      </c>
      <c r="AS36" s="8" t="str">
        <f>ROUND(78.9*(1+AD6)*(1+AD5)+AD7,2)</f>
        <v>0</v>
      </c>
      <c r="AT36" s="8" t="str">
        <f>ROUND(83.24*(1+AD6)*(1+AD5)+AD7,2)</f>
        <v>0</v>
      </c>
      <c r="AU36" s="8" t="str">
        <f>ROUND(87.54*(1+AD6)*(1+AD5)+AD7,2)</f>
        <v>0</v>
      </c>
      <c r="AV36" s="8" t="str">
        <f>ROUND(92.32*(1+AD6)*(1+AD5)+AD7,2)</f>
        <v>0</v>
      </c>
      <c r="AW36" s="8" t="str">
        <f>ROUND(97.64*(1+AD6)*(1+AD5)+AD7,2)</f>
        <v>0</v>
      </c>
      <c r="AX36" s="8" t="str">
        <f>ROUND(101.78*(1+AD6)*(1+AD5)+AD7,2)</f>
        <v>0</v>
      </c>
      <c r="AY36" s="8" t="str">
        <f>ROUND(106.24*(1+AD6)*(1+AD5)+AD7,2)</f>
        <v>0</v>
      </c>
      <c r="AZ36" s="8" t="str">
        <f>ROUND(110.47*(1+AD6)*(1+AD5)+AD7,2)</f>
        <v>0</v>
      </c>
      <c r="BA36" s="8" t="str">
        <f>ROUND(114.84*(1+AD6)*(1+AD5)+AD7,2)</f>
        <v>0</v>
      </c>
      <c r="BB36" s="8" t="str">
        <f>ROUND(120.65*(1+AD6)*(1+AD5)+AD7,2)</f>
        <v>0</v>
      </c>
      <c r="BC36" s="8" t="str">
        <f>ROUND(127.08*(1+AD6)*(1+AD5)+AD7,2)</f>
        <v>0</v>
      </c>
      <c r="BD36" s="8" t="str">
        <f>ROUND(132.88*(1+AD6)*(1+AD5)+AD7,2)</f>
        <v>0</v>
      </c>
      <c r="BE36" t="str">
        <f>ROUND(137.1*(1+AD6)*(1+AD5)+AD7,2)</f>
        <v>0</v>
      </c>
      <c r="BF36" t="str">
        <f>ROUND(141.64*(1+AD6)*(1+AD5)+AD7,2)</f>
        <v>0</v>
      </c>
    </row>
    <row r="37" spans="1:58">
      <c r="A37" s="8"/>
      <c r="B37" s="10"/>
      <c r="C37" s="14">
        <v>1100</v>
      </c>
      <c r="D37" s="8">
        <v>38.8</v>
      </c>
      <c r="E37" s="8">
        <v>43.04</v>
      </c>
      <c r="F37" s="8">
        <v>47.26</v>
      </c>
      <c r="G37" s="8">
        <v>51.55</v>
      </c>
      <c r="H37" s="8">
        <v>56.44</v>
      </c>
      <c r="I37" s="8">
        <v>61.35</v>
      </c>
      <c r="J37" s="8">
        <v>66.31</v>
      </c>
      <c r="K37" s="8">
        <v>70.77</v>
      </c>
      <c r="L37" s="8">
        <v>75.67</v>
      </c>
      <c r="M37" s="8">
        <v>80.09</v>
      </c>
      <c r="N37" s="8">
        <v>84.52</v>
      </c>
      <c r="O37" s="8">
        <v>88.93</v>
      </c>
      <c r="P37" s="8">
        <v>93.79</v>
      </c>
      <c r="Q37" s="8">
        <v>99.22</v>
      </c>
      <c r="R37" s="8">
        <v>103.43</v>
      </c>
      <c r="S37" s="8">
        <v>108</v>
      </c>
      <c r="T37" s="8">
        <v>112.3</v>
      </c>
      <c r="U37" s="8">
        <v>116.79</v>
      </c>
      <c r="V37" s="8">
        <v>122.68</v>
      </c>
      <c r="W37" s="8">
        <v>129.22</v>
      </c>
      <c r="X37" s="8">
        <v>135.08</v>
      </c>
      <c r="Y37" s="8">
        <v>139.41</v>
      </c>
      <c r="Z37" s="8">
        <v>144.02</v>
      </c>
      <c r="AA37" s="8"/>
      <c r="AB37" s="8"/>
      <c r="AC37" s="8"/>
      <c r="AD37" s="8"/>
      <c r="AE37" s="8"/>
      <c r="AF37" s="8"/>
      <c r="AG37" s="9"/>
      <c r="AH37" s="10"/>
      <c r="AI37" s="14">
        <v>1100</v>
      </c>
      <c r="AJ37" s="8" t="str">
        <f>ROUND(38.8*(1+AD6)*(1+AD5)+AD7,2)</f>
        <v>0</v>
      </c>
      <c r="AK37" s="8" t="str">
        <f>ROUND(43.04*(1+AD6)*(1+AD5)+AD7,2)</f>
        <v>0</v>
      </c>
      <c r="AL37" s="8" t="str">
        <f>ROUND(47.26*(1+AD6)*(1+AD5)+AD7,2)</f>
        <v>0</v>
      </c>
      <c r="AM37" s="8" t="str">
        <f>ROUND(51.55*(1+AD6)*(1+AD5)+AD7,2)</f>
        <v>0</v>
      </c>
      <c r="AN37" s="8" t="str">
        <f>ROUND(56.44*(1+AD6)*(1+AD5)+AD7,2)</f>
        <v>0</v>
      </c>
      <c r="AO37" s="8" t="str">
        <f>ROUND(61.35*(1+AD6)*(1+AD5)+AD7,2)</f>
        <v>0</v>
      </c>
      <c r="AP37" s="8" t="str">
        <f>ROUND(66.31*(1+AD6)*(1+AD5)+AD7,2)</f>
        <v>0</v>
      </c>
      <c r="AQ37" s="8" t="str">
        <f>ROUND(70.77*(1+AD6)*(1+AD5)+AD7,2)</f>
        <v>0</v>
      </c>
      <c r="AR37" s="8" t="str">
        <f>ROUND(75.67*(1+AD6)*(1+AD5)+AD7,2)</f>
        <v>0</v>
      </c>
      <c r="AS37" s="8" t="str">
        <f>ROUND(80.09*(1+AD6)*(1+AD5)+AD7,2)</f>
        <v>0</v>
      </c>
      <c r="AT37" s="8" t="str">
        <f>ROUND(84.52*(1+AD6)*(1+AD5)+AD7,2)</f>
        <v>0</v>
      </c>
      <c r="AU37" s="8" t="str">
        <f>ROUND(88.93*(1+AD6)*(1+AD5)+AD7,2)</f>
        <v>0</v>
      </c>
      <c r="AV37" s="8" t="str">
        <f>ROUND(93.79*(1+AD6)*(1+AD5)+AD7,2)</f>
        <v>0</v>
      </c>
      <c r="AW37" s="8" t="str">
        <f>ROUND(99.22*(1+AD6)*(1+AD5)+AD7,2)</f>
        <v>0</v>
      </c>
      <c r="AX37" s="8" t="str">
        <f>ROUND(103.43*(1+AD6)*(1+AD5)+AD7,2)</f>
        <v>0</v>
      </c>
      <c r="AY37" s="8" t="str">
        <f>ROUND(108*(1+AD6)*(1+AD5)+AD7,2)</f>
        <v>0</v>
      </c>
      <c r="AZ37" s="8" t="str">
        <f>ROUND(112.3*(1+AD6)*(1+AD5)+AD7,2)</f>
        <v>0</v>
      </c>
      <c r="BA37" s="8" t="str">
        <f>ROUND(116.79*(1+AD6)*(1+AD5)+AD7,2)</f>
        <v>0</v>
      </c>
      <c r="BB37" s="8" t="str">
        <f>ROUND(122.68*(1+AD6)*(1+AD5)+AD7,2)</f>
        <v>0</v>
      </c>
      <c r="BC37" s="8" t="str">
        <f>ROUND(129.22*(1+AD6)*(1+AD5)+AD7,2)</f>
        <v>0</v>
      </c>
      <c r="BD37" s="8" t="str">
        <f>ROUND(135.08*(1+AD6)*(1+AD5)+AD7,2)</f>
        <v>0</v>
      </c>
      <c r="BE37" t="str">
        <f>ROUND(139.41*(1+AD6)*(1+AD5)+AD7,2)</f>
        <v>0</v>
      </c>
      <c r="BF37" t="str">
        <f>ROUND(144.02*(1+AD6)*(1+AD5)+AD7,2)</f>
        <v>0</v>
      </c>
    </row>
    <row r="38" spans="1:58">
      <c r="A38" s="8"/>
      <c r="B38" s="10"/>
      <c r="C38" s="14">
        <v>1200</v>
      </c>
      <c r="D38" s="8">
        <v>39.13</v>
      </c>
      <c r="E38" s="8">
        <v>43.47</v>
      </c>
      <c r="F38" s="8">
        <v>47.78</v>
      </c>
      <c r="G38" s="8">
        <v>52.17</v>
      </c>
      <c r="H38" s="8">
        <v>57.14</v>
      </c>
      <c r="I38" s="8">
        <v>62.17</v>
      </c>
      <c r="J38" s="8">
        <v>67.2</v>
      </c>
      <c r="K38" s="8">
        <v>71.77</v>
      </c>
      <c r="L38" s="8">
        <v>76.77</v>
      </c>
      <c r="M38" s="8">
        <v>81.28</v>
      </c>
      <c r="N38" s="8">
        <v>87.24</v>
      </c>
      <c r="O38" s="8">
        <v>90.28</v>
      </c>
      <c r="P38" s="8">
        <v>95.24</v>
      </c>
      <c r="Q38" s="8">
        <v>100.74</v>
      </c>
      <c r="R38" s="8">
        <v>105.08</v>
      </c>
      <c r="S38" s="8">
        <v>109.74</v>
      </c>
      <c r="T38" s="8">
        <v>114.13</v>
      </c>
      <c r="U38" s="8">
        <v>118.74</v>
      </c>
      <c r="V38" s="8">
        <v>124.72</v>
      </c>
      <c r="W38" s="8">
        <v>131.33</v>
      </c>
      <c r="X38" s="8">
        <v>137.31</v>
      </c>
      <c r="Y38" s="8">
        <v>141.72</v>
      </c>
      <c r="Z38" s="8">
        <v>146.41</v>
      </c>
      <c r="AA38" s="8"/>
      <c r="AB38" s="8"/>
      <c r="AC38" s="8"/>
      <c r="AD38" s="8"/>
      <c r="AE38" s="8"/>
      <c r="AF38" s="8"/>
      <c r="AG38" s="9"/>
      <c r="AH38" s="10"/>
      <c r="AI38" s="14">
        <v>1200</v>
      </c>
      <c r="AJ38" s="8" t="str">
        <f>ROUND(39.13*(1+AD6)*(1+AD5)+AD7,2)</f>
        <v>0</v>
      </c>
      <c r="AK38" s="8" t="str">
        <f>ROUND(43.47*(1+AD6)*(1+AD5)+AD7,2)</f>
        <v>0</v>
      </c>
      <c r="AL38" s="8" t="str">
        <f>ROUND(47.78*(1+AD6)*(1+AD5)+AD7,2)</f>
        <v>0</v>
      </c>
      <c r="AM38" s="8" t="str">
        <f>ROUND(52.17*(1+AD6)*(1+AD5)+AD7,2)</f>
        <v>0</v>
      </c>
      <c r="AN38" s="8" t="str">
        <f>ROUND(57.14*(1+AD6)*(1+AD5)+AD7,2)</f>
        <v>0</v>
      </c>
      <c r="AO38" s="8" t="str">
        <f>ROUND(62.17*(1+AD6)*(1+AD5)+AD7,2)</f>
        <v>0</v>
      </c>
      <c r="AP38" s="8" t="str">
        <f>ROUND(67.2*(1+AD6)*(1+AD5)+AD7,2)</f>
        <v>0</v>
      </c>
      <c r="AQ38" s="8" t="str">
        <f>ROUND(71.77*(1+AD6)*(1+AD5)+AD7,2)</f>
        <v>0</v>
      </c>
      <c r="AR38" s="8" t="str">
        <f>ROUND(76.77*(1+AD6)*(1+AD5)+AD7,2)</f>
        <v>0</v>
      </c>
      <c r="AS38" s="8" t="str">
        <f>ROUND(81.28*(1+AD6)*(1+AD5)+AD7,2)</f>
        <v>0</v>
      </c>
      <c r="AT38" s="8" t="str">
        <f>ROUND(87.24*(1+AD6)*(1+AD5)+AD7,2)</f>
        <v>0</v>
      </c>
      <c r="AU38" s="8" t="str">
        <f>ROUND(90.28*(1+AD6)*(1+AD5)+AD7,2)</f>
        <v>0</v>
      </c>
      <c r="AV38" s="8" t="str">
        <f>ROUND(95.24*(1+AD6)*(1+AD5)+AD7,2)</f>
        <v>0</v>
      </c>
      <c r="AW38" s="8" t="str">
        <f>ROUND(100.74*(1+AD6)*(1+AD5)+AD7,2)</f>
        <v>0</v>
      </c>
      <c r="AX38" s="8" t="str">
        <f>ROUND(105.08*(1+AD6)*(1+AD5)+AD7,2)</f>
        <v>0</v>
      </c>
      <c r="AY38" s="8" t="str">
        <f>ROUND(109.74*(1+AD6)*(1+AD5)+AD7,2)</f>
        <v>0</v>
      </c>
      <c r="AZ38" s="8" t="str">
        <f>ROUND(114.13*(1+AD6)*(1+AD5)+AD7,2)</f>
        <v>0</v>
      </c>
      <c r="BA38" s="8" t="str">
        <f>ROUND(118.74*(1+AD6)*(1+AD5)+AD7,2)</f>
        <v>0</v>
      </c>
      <c r="BB38" s="8" t="str">
        <f>ROUND(124.72*(1+AD6)*(1+AD5)+AD7,2)</f>
        <v>0</v>
      </c>
      <c r="BC38" s="8" t="str">
        <f>ROUND(131.33*(1+AD6)*(1+AD5)+AD7,2)</f>
        <v>0</v>
      </c>
      <c r="BD38" s="8" t="str">
        <f>ROUND(137.31*(1+AD6)*(1+AD5)+AD7,2)</f>
        <v>0</v>
      </c>
      <c r="BE38" t="str">
        <f>ROUND(141.72*(1+AD6)*(1+AD5)+AD7,2)</f>
        <v>0</v>
      </c>
      <c r="BF38" t="str">
        <f>ROUND(146.41*(1+AD6)*(1+AD5)+AD7,2)</f>
        <v>0</v>
      </c>
    </row>
    <row r="39" spans="1:58">
      <c r="A39" s="8"/>
      <c r="B39" s="10"/>
      <c r="C39" s="14">
        <v>1300</v>
      </c>
      <c r="D39" s="8">
        <v>39.46</v>
      </c>
      <c r="E39" s="8">
        <v>43.9</v>
      </c>
      <c r="F39" s="8">
        <v>48.31</v>
      </c>
      <c r="G39" s="8">
        <v>52.79</v>
      </c>
      <c r="H39" s="8">
        <v>57.86</v>
      </c>
      <c r="I39" s="8">
        <v>62.87</v>
      </c>
      <c r="J39" s="8">
        <v>68.1</v>
      </c>
      <c r="K39" s="8">
        <v>72.78</v>
      </c>
      <c r="L39" s="8">
        <v>77.85</v>
      </c>
      <c r="M39" s="8">
        <v>82.44</v>
      </c>
      <c r="N39" s="8">
        <v>87.09</v>
      </c>
      <c r="O39" s="8">
        <v>91.67</v>
      </c>
      <c r="P39" s="8">
        <v>96.71</v>
      </c>
      <c r="Q39" s="8">
        <v>102.32</v>
      </c>
      <c r="R39" s="8">
        <v>106.74</v>
      </c>
      <c r="S39" s="8">
        <v>111.48</v>
      </c>
      <c r="T39" s="8">
        <v>115.99</v>
      </c>
      <c r="U39" s="8">
        <v>120.66</v>
      </c>
      <c r="V39" s="8">
        <v>126.75</v>
      </c>
      <c r="W39" s="8">
        <v>133.46</v>
      </c>
      <c r="X39" s="8">
        <v>139.54</v>
      </c>
      <c r="Y39" s="8">
        <v>144.04</v>
      </c>
      <c r="Z39" s="8">
        <v>148.8</v>
      </c>
      <c r="AA39" s="8"/>
      <c r="AB39" s="8"/>
      <c r="AC39" s="8"/>
      <c r="AD39" s="8"/>
      <c r="AE39" s="8"/>
      <c r="AF39" s="8"/>
      <c r="AG39" s="9"/>
      <c r="AH39" s="10"/>
      <c r="AI39" s="14">
        <v>1300</v>
      </c>
      <c r="AJ39" s="8" t="str">
        <f>ROUND(39.46*(1+AD6)*(1+AD5)+AD7,2)</f>
        <v>0</v>
      </c>
      <c r="AK39" s="8" t="str">
        <f>ROUND(43.9*(1+AD6)*(1+AD5)+AD7,2)</f>
        <v>0</v>
      </c>
      <c r="AL39" s="8" t="str">
        <f>ROUND(48.31*(1+AD6)*(1+AD5)+AD7,2)</f>
        <v>0</v>
      </c>
      <c r="AM39" s="8" t="str">
        <f>ROUND(52.79*(1+AD6)*(1+AD5)+AD7,2)</f>
        <v>0</v>
      </c>
      <c r="AN39" s="8" t="str">
        <f>ROUND(57.86*(1+AD6)*(1+AD5)+AD7,2)</f>
        <v>0</v>
      </c>
      <c r="AO39" s="8" t="str">
        <f>ROUND(62.87*(1+AD6)*(1+AD5)+AD7,2)</f>
        <v>0</v>
      </c>
      <c r="AP39" s="8" t="str">
        <f>ROUND(68.1*(1+AD6)*(1+AD5)+AD7,2)</f>
        <v>0</v>
      </c>
      <c r="AQ39" s="8" t="str">
        <f>ROUND(72.78*(1+AD6)*(1+AD5)+AD7,2)</f>
        <v>0</v>
      </c>
      <c r="AR39" s="8" t="str">
        <f>ROUND(77.85*(1+AD6)*(1+AD5)+AD7,2)</f>
        <v>0</v>
      </c>
      <c r="AS39" s="8" t="str">
        <f>ROUND(82.44*(1+AD6)*(1+AD5)+AD7,2)</f>
        <v>0</v>
      </c>
      <c r="AT39" s="8" t="str">
        <f>ROUND(87.09*(1+AD6)*(1+AD5)+AD7,2)</f>
        <v>0</v>
      </c>
      <c r="AU39" s="8" t="str">
        <f>ROUND(91.67*(1+AD6)*(1+AD5)+AD7,2)</f>
        <v>0</v>
      </c>
      <c r="AV39" s="8" t="str">
        <f>ROUND(96.71*(1+AD6)*(1+AD5)+AD7,2)</f>
        <v>0</v>
      </c>
      <c r="AW39" s="8" t="str">
        <f>ROUND(102.32*(1+AD6)*(1+AD5)+AD7,2)</f>
        <v>0</v>
      </c>
      <c r="AX39" s="8" t="str">
        <f>ROUND(106.74*(1+AD6)*(1+AD5)+AD7,2)</f>
        <v>0</v>
      </c>
      <c r="AY39" s="8" t="str">
        <f>ROUND(111.48*(1+AD6)*(1+AD5)+AD7,2)</f>
        <v>0</v>
      </c>
      <c r="AZ39" s="8" t="str">
        <f>ROUND(115.99*(1+AD6)*(1+AD5)+AD7,2)</f>
        <v>0</v>
      </c>
      <c r="BA39" s="8" t="str">
        <f>ROUND(120.66*(1+AD6)*(1+AD5)+AD7,2)</f>
        <v>0</v>
      </c>
      <c r="BB39" s="8" t="str">
        <f>ROUND(126.75*(1+AD6)*(1+AD5)+AD7,2)</f>
        <v>0</v>
      </c>
      <c r="BC39" s="8" t="str">
        <f>ROUND(133.46*(1+AD6)*(1+AD5)+AD7,2)</f>
        <v>0</v>
      </c>
      <c r="BD39" s="8" t="str">
        <f>ROUND(139.54*(1+AD6)*(1+AD5)+AD7,2)</f>
        <v>0</v>
      </c>
      <c r="BE39" t="str">
        <f>ROUND(144.04*(1+AD6)*(1+AD5)+AD7,2)</f>
        <v>0</v>
      </c>
      <c r="BF39" t="str">
        <f>ROUND(148.8*(1+AD6)*(1+AD5)+AD7,2)</f>
        <v>0</v>
      </c>
    </row>
    <row r="40" spans="1:58">
      <c r="A40" s="8"/>
      <c r="B40" s="10"/>
      <c r="C40" s="14">
        <v>1400</v>
      </c>
      <c r="D40" s="8">
        <v>39.8</v>
      </c>
      <c r="E40" s="8">
        <v>44.33</v>
      </c>
      <c r="F40" s="8">
        <v>48.83</v>
      </c>
      <c r="G40" s="8">
        <v>53.41</v>
      </c>
      <c r="H40" s="8">
        <v>58.59</v>
      </c>
      <c r="I40" s="8">
        <v>63.77</v>
      </c>
      <c r="J40" s="8">
        <v>69.01</v>
      </c>
      <c r="K40" s="8">
        <v>73.78</v>
      </c>
      <c r="L40" s="8">
        <v>78.92</v>
      </c>
      <c r="M40" s="8">
        <v>83.64</v>
      </c>
      <c r="N40" s="8">
        <v>88.36</v>
      </c>
      <c r="O40" s="8">
        <v>93.03</v>
      </c>
      <c r="P40" s="8">
        <v>98.16</v>
      </c>
      <c r="Q40" s="8">
        <v>103.86</v>
      </c>
      <c r="R40" s="8">
        <v>108.37</v>
      </c>
      <c r="S40" s="8">
        <v>113.21</v>
      </c>
      <c r="T40" s="8">
        <v>117.83</v>
      </c>
      <c r="U40" s="8">
        <v>122.6</v>
      </c>
      <c r="V40" s="8">
        <v>128.77</v>
      </c>
      <c r="W40" s="8">
        <v>135.58</v>
      </c>
      <c r="X40" s="8">
        <v>141.77</v>
      </c>
      <c r="Y40" s="8">
        <v>146.36</v>
      </c>
      <c r="Z40" s="8">
        <v>151.18</v>
      </c>
      <c r="AA40" s="8"/>
      <c r="AB40" s="8"/>
      <c r="AC40" s="8"/>
      <c r="AD40" s="8"/>
      <c r="AE40" s="8"/>
      <c r="AF40" s="8"/>
      <c r="AG40" s="9"/>
      <c r="AH40" s="10"/>
      <c r="AI40" s="14">
        <v>1400</v>
      </c>
      <c r="AJ40" s="8" t="str">
        <f>ROUND(39.8*(1+AD6)*(1+AD5)+AD7,2)</f>
        <v>0</v>
      </c>
      <c r="AK40" s="8" t="str">
        <f>ROUND(44.33*(1+AD6)*(1+AD5)+AD7,2)</f>
        <v>0</v>
      </c>
      <c r="AL40" s="8" t="str">
        <f>ROUND(48.83*(1+AD6)*(1+AD5)+AD7,2)</f>
        <v>0</v>
      </c>
      <c r="AM40" s="8" t="str">
        <f>ROUND(53.41*(1+AD6)*(1+AD5)+AD7,2)</f>
        <v>0</v>
      </c>
      <c r="AN40" s="8" t="str">
        <f>ROUND(58.59*(1+AD6)*(1+AD5)+AD7,2)</f>
        <v>0</v>
      </c>
      <c r="AO40" s="8" t="str">
        <f>ROUND(63.77*(1+AD6)*(1+AD5)+AD7,2)</f>
        <v>0</v>
      </c>
      <c r="AP40" s="8" t="str">
        <f>ROUND(69.01*(1+AD6)*(1+AD5)+AD7,2)</f>
        <v>0</v>
      </c>
      <c r="AQ40" s="8" t="str">
        <f>ROUND(73.78*(1+AD6)*(1+AD5)+AD7,2)</f>
        <v>0</v>
      </c>
      <c r="AR40" s="8" t="str">
        <f>ROUND(78.92*(1+AD6)*(1+AD5)+AD7,2)</f>
        <v>0</v>
      </c>
      <c r="AS40" s="8" t="str">
        <f>ROUND(83.64*(1+AD6)*(1+AD5)+AD7,2)</f>
        <v>0</v>
      </c>
      <c r="AT40" s="8" t="str">
        <f>ROUND(88.36*(1+AD6)*(1+AD5)+AD7,2)</f>
        <v>0</v>
      </c>
      <c r="AU40" s="8" t="str">
        <f>ROUND(93.03*(1+AD6)*(1+AD5)+AD7,2)</f>
        <v>0</v>
      </c>
      <c r="AV40" s="8" t="str">
        <f>ROUND(98.16*(1+AD6)*(1+AD5)+AD7,2)</f>
        <v>0</v>
      </c>
      <c r="AW40" s="8" t="str">
        <f>ROUND(103.86*(1+AD6)*(1+AD5)+AD7,2)</f>
        <v>0</v>
      </c>
      <c r="AX40" s="8" t="str">
        <f>ROUND(108.37*(1+AD6)*(1+AD5)+AD7,2)</f>
        <v>0</v>
      </c>
      <c r="AY40" s="8" t="str">
        <f>ROUND(113.21*(1+AD6)*(1+AD5)+AD7,2)</f>
        <v>0</v>
      </c>
      <c r="AZ40" s="8" t="str">
        <f>ROUND(117.83*(1+AD6)*(1+AD5)+AD7,2)</f>
        <v>0</v>
      </c>
      <c r="BA40" s="8" t="str">
        <f>ROUND(122.6*(1+AD6)*(1+AD5)+AD7,2)</f>
        <v>0</v>
      </c>
      <c r="BB40" s="8" t="str">
        <f>ROUND(128.77*(1+AD6)*(1+AD5)+AD7,2)</f>
        <v>0</v>
      </c>
      <c r="BC40" s="8" t="str">
        <f>ROUND(135.58*(1+AD6)*(1+AD5)+AD7,2)</f>
        <v>0</v>
      </c>
      <c r="BD40" s="8" t="str">
        <f>ROUND(141.77*(1+AD6)*(1+AD5)+AD7,2)</f>
        <v>0</v>
      </c>
      <c r="BE40" t="str">
        <f>ROUND(146.36*(1+AD6)*(1+AD5)+AD7,2)</f>
        <v>0</v>
      </c>
      <c r="BF40" t="str">
        <f>ROUND(151.18*(1+AD6)*(1+AD5)+AD7,2)</f>
        <v>0</v>
      </c>
    </row>
    <row r="41" spans="1:58">
      <c r="A41" s="8"/>
      <c r="B41" s="10"/>
      <c r="C41" s="14">
        <v>1500</v>
      </c>
      <c r="D41" s="8">
        <v>40.14</v>
      </c>
      <c r="E41" s="8">
        <v>44.75</v>
      </c>
      <c r="F41" s="8">
        <v>49.36</v>
      </c>
      <c r="G41" s="8">
        <v>54.03</v>
      </c>
      <c r="H41" s="8">
        <v>59.29</v>
      </c>
      <c r="I41" s="8">
        <v>64.57</v>
      </c>
      <c r="J41" s="8">
        <v>69.89</v>
      </c>
      <c r="K41" s="8">
        <v>74.78</v>
      </c>
      <c r="L41" s="8">
        <v>80.01</v>
      </c>
      <c r="M41" s="8">
        <v>84.82</v>
      </c>
      <c r="N41" s="8">
        <v>89.64</v>
      </c>
      <c r="O41" s="8">
        <v>94.41</v>
      </c>
      <c r="P41" s="8">
        <v>99.65</v>
      </c>
      <c r="Q41" s="8">
        <v>105.42</v>
      </c>
      <c r="R41" s="8">
        <v>110.05</v>
      </c>
      <c r="S41" s="8">
        <v>114.98</v>
      </c>
      <c r="T41" s="8">
        <v>119.67</v>
      </c>
      <c r="U41" s="8">
        <v>124.53</v>
      </c>
      <c r="V41" s="8">
        <v>130.83</v>
      </c>
      <c r="W41" s="8">
        <v>137.72</v>
      </c>
      <c r="X41" s="8">
        <v>144.01</v>
      </c>
      <c r="Y41" s="8">
        <v>148.68</v>
      </c>
      <c r="Z41" s="8">
        <v>153.57</v>
      </c>
      <c r="AA41" s="8"/>
      <c r="AB41" s="8"/>
      <c r="AC41" s="8"/>
      <c r="AD41" s="8"/>
      <c r="AE41" s="8"/>
      <c r="AF41" s="8"/>
      <c r="AG41" s="9"/>
      <c r="AH41" s="10"/>
      <c r="AI41" s="14">
        <v>1500</v>
      </c>
      <c r="AJ41" s="8" t="str">
        <f>ROUND(40.14*(1+AD6)*(1+AD5)+AD7,2)</f>
        <v>0</v>
      </c>
      <c r="AK41" s="8" t="str">
        <f>ROUND(44.75*(1+AD6)*(1+AD5)+AD7,2)</f>
        <v>0</v>
      </c>
      <c r="AL41" s="8" t="str">
        <f>ROUND(49.36*(1+AD6)*(1+AD5)+AD7,2)</f>
        <v>0</v>
      </c>
      <c r="AM41" s="8" t="str">
        <f>ROUND(54.03*(1+AD6)*(1+AD5)+AD7,2)</f>
        <v>0</v>
      </c>
      <c r="AN41" s="8" t="str">
        <f>ROUND(59.29*(1+AD6)*(1+AD5)+AD7,2)</f>
        <v>0</v>
      </c>
      <c r="AO41" s="8" t="str">
        <f>ROUND(64.57*(1+AD6)*(1+AD5)+AD7,2)</f>
        <v>0</v>
      </c>
      <c r="AP41" s="8" t="str">
        <f>ROUND(69.89*(1+AD6)*(1+AD5)+AD7,2)</f>
        <v>0</v>
      </c>
      <c r="AQ41" s="8" t="str">
        <f>ROUND(74.78*(1+AD6)*(1+AD5)+AD7,2)</f>
        <v>0</v>
      </c>
      <c r="AR41" s="8" t="str">
        <f>ROUND(80.01*(1+AD6)*(1+AD5)+AD7,2)</f>
        <v>0</v>
      </c>
      <c r="AS41" s="8" t="str">
        <f>ROUND(84.82*(1+AD6)*(1+AD5)+AD7,2)</f>
        <v>0</v>
      </c>
      <c r="AT41" s="8" t="str">
        <f>ROUND(89.64*(1+AD6)*(1+AD5)+AD7,2)</f>
        <v>0</v>
      </c>
      <c r="AU41" s="8" t="str">
        <f>ROUND(94.41*(1+AD6)*(1+AD5)+AD7,2)</f>
        <v>0</v>
      </c>
      <c r="AV41" s="8" t="str">
        <f>ROUND(99.65*(1+AD6)*(1+AD5)+AD7,2)</f>
        <v>0</v>
      </c>
      <c r="AW41" s="8" t="str">
        <f>ROUND(105.42*(1+AD6)*(1+AD5)+AD7,2)</f>
        <v>0</v>
      </c>
      <c r="AX41" s="8" t="str">
        <f>ROUND(110.05*(1+AD6)*(1+AD5)+AD7,2)</f>
        <v>0</v>
      </c>
      <c r="AY41" s="8" t="str">
        <f>ROUND(114.98*(1+AD6)*(1+AD5)+AD7,2)</f>
        <v>0</v>
      </c>
      <c r="AZ41" s="8" t="str">
        <f>ROUND(119.67*(1+AD6)*(1+AD5)+AD7,2)</f>
        <v>0</v>
      </c>
      <c r="BA41" s="8" t="str">
        <f>ROUND(124.53*(1+AD6)*(1+AD5)+AD7,2)</f>
        <v>0</v>
      </c>
      <c r="BB41" s="8" t="str">
        <f>ROUND(130.83*(1+AD6)*(1+AD5)+AD7,2)</f>
        <v>0</v>
      </c>
      <c r="BC41" s="8" t="str">
        <f>ROUND(137.72*(1+AD6)*(1+AD5)+AD7,2)</f>
        <v>0</v>
      </c>
      <c r="BD41" s="8" t="str">
        <f>ROUND(144.01*(1+AD6)*(1+AD5)+AD7,2)</f>
        <v>0</v>
      </c>
      <c r="BE41" t="str">
        <f>ROUND(148.68*(1+AD6)*(1+AD5)+AD7,2)</f>
        <v>0</v>
      </c>
      <c r="BF41" t="str">
        <f>ROUND(153.57*(1+AD6)*(1+AD5)+AD7,2)</f>
        <v>0</v>
      </c>
    </row>
    <row r="42" spans="1:58">
      <c r="A42" s="8"/>
      <c r="B42" s="10"/>
      <c r="C42" s="14">
        <v>1600</v>
      </c>
      <c r="D42" s="8">
        <v>40.47</v>
      </c>
      <c r="E42" s="8">
        <v>45.19</v>
      </c>
      <c r="F42" s="8">
        <v>49.86</v>
      </c>
      <c r="G42" s="8">
        <v>54.63</v>
      </c>
      <c r="H42" s="8">
        <v>60</v>
      </c>
      <c r="I42" s="8">
        <v>65.39</v>
      </c>
      <c r="J42" s="8">
        <v>70.82</v>
      </c>
      <c r="K42" s="8">
        <v>75.75</v>
      </c>
      <c r="L42" s="8">
        <v>81.1</v>
      </c>
      <c r="M42" s="8">
        <v>85.99</v>
      </c>
      <c r="N42" s="8">
        <v>90.92</v>
      </c>
      <c r="O42" s="8">
        <v>95.77</v>
      </c>
      <c r="P42" s="8">
        <v>101.13</v>
      </c>
      <c r="Q42" s="8">
        <v>107.01</v>
      </c>
      <c r="R42" s="8">
        <v>111.69</v>
      </c>
      <c r="S42" s="8">
        <v>116.75</v>
      </c>
      <c r="T42" s="8">
        <v>121.52</v>
      </c>
      <c r="U42" s="8">
        <v>126.48</v>
      </c>
      <c r="V42" s="8">
        <v>132.85</v>
      </c>
      <c r="W42" s="8">
        <v>139.85</v>
      </c>
      <c r="X42" s="8">
        <v>146.22</v>
      </c>
      <c r="Y42" s="8">
        <v>151</v>
      </c>
      <c r="Z42" s="8">
        <v>155.95</v>
      </c>
      <c r="AA42" s="8"/>
      <c r="AB42" s="8"/>
      <c r="AC42" s="8"/>
      <c r="AD42" s="8"/>
      <c r="AE42" s="8"/>
      <c r="AF42" s="8"/>
      <c r="AG42" s="9"/>
      <c r="AH42" s="10"/>
      <c r="AI42" s="14">
        <v>1600</v>
      </c>
      <c r="AJ42" s="8" t="str">
        <f>ROUND(40.47*(1+AD6)*(1+AD5)+AD7,2)</f>
        <v>0</v>
      </c>
      <c r="AK42" s="8" t="str">
        <f>ROUND(45.19*(1+AD6)*(1+AD5)+AD7,2)</f>
        <v>0</v>
      </c>
      <c r="AL42" s="8" t="str">
        <f>ROUND(49.86*(1+AD6)*(1+AD5)+AD7,2)</f>
        <v>0</v>
      </c>
      <c r="AM42" s="8" t="str">
        <f>ROUND(54.63*(1+AD6)*(1+AD5)+AD7,2)</f>
        <v>0</v>
      </c>
      <c r="AN42" s="8" t="str">
        <f>ROUND(60*(1+AD6)*(1+AD5)+AD7,2)</f>
        <v>0</v>
      </c>
      <c r="AO42" s="8" t="str">
        <f>ROUND(65.39*(1+AD6)*(1+AD5)+AD7,2)</f>
        <v>0</v>
      </c>
      <c r="AP42" s="8" t="str">
        <f>ROUND(70.82*(1+AD6)*(1+AD5)+AD7,2)</f>
        <v>0</v>
      </c>
      <c r="AQ42" s="8" t="str">
        <f>ROUND(75.75*(1+AD6)*(1+AD5)+AD7,2)</f>
        <v>0</v>
      </c>
      <c r="AR42" s="8" t="str">
        <f>ROUND(81.1*(1+AD6)*(1+AD5)+AD7,2)</f>
        <v>0</v>
      </c>
      <c r="AS42" s="8" t="str">
        <f>ROUND(85.99*(1+AD6)*(1+AD5)+AD7,2)</f>
        <v>0</v>
      </c>
      <c r="AT42" s="8" t="str">
        <f>ROUND(90.92*(1+AD6)*(1+AD5)+AD7,2)</f>
        <v>0</v>
      </c>
      <c r="AU42" s="8" t="str">
        <f>ROUND(95.77*(1+AD6)*(1+AD5)+AD7,2)</f>
        <v>0</v>
      </c>
      <c r="AV42" s="8" t="str">
        <f>ROUND(101.13*(1+AD6)*(1+AD5)+AD7,2)</f>
        <v>0</v>
      </c>
      <c r="AW42" s="8" t="str">
        <f>ROUND(107.01*(1+AD6)*(1+AD5)+AD7,2)</f>
        <v>0</v>
      </c>
      <c r="AX42" s="8" t="str">
        <f>ROUND(111.69*(1+AD6)*(1+AD5)+AD7,2)</f>
        <v>0</v>
      </c>
      <c r="AY42" s="8" t="str">
        <f>ROUND(116.75*(1+AD6)*(1+AD5)+AD7,2)</f>
        <v>0</v>
      </c>
      <c r="AZ42" s="8" t="str">
        <f>ROUND(121.52*(1+AD6)*(1+AD5)+AD7,2)</f>
        <v>0</v>
      </c>
      <c r="BA42" s="8" t="str">
        <f>ROUND(126.48*(1+AD6)*(1+AD5)+AD7,2)</f>
        <v>0</v>
      </c>
      <c r="BB42" s="8" t="str">
        <f>ROUND(132.85*(1+AD6)*(1+AD5)+AD7,2)</f>
        <v>0</v>
      </c>
      <c r="BC42" s="8" t="str">
        <f>ROUND(139.85*(1+AD6)*(1+AD5)+AD7,2)</f>
        <v>0</v>
      </c>
      <c r="BD42" s="8" t="str">
        <f>ROUND(146.22*(1+AD6)*(1+AD5)+AD7,2)</f>
        <v>0</v>
      </c>
      <c r="BE42" t="str">
        <f>ROUND(151*(1+AD6)*(1+AD5)+AD7,2)</f>
        <v>0</v>
      </c>
      <c r="BF42" t="str">
        <f>ROUND(155.95*(1+AD6)*(1+AD5)+AD7,2)</f>
        <v>0</v>
      </c>
    </row>
    <row r="43" spans="1:58">
      <c r="A43" s="8"/>
      <c r="B43" s="10"/>
      <c r="C43" s="14">
        <v>1700</v>
      </c>
      <c r="D43" s="8">
        <v>40.79</v>
      </c>
      <c r="E43" s="8">
        <v>45.62</v>
      </c>
      <c r="F43" s="8">
        <v>50.39</v>
      </c>
      <c r="G43" s="8">
        <v>55.26</v>
      </c>
      <c r="H43" s="8">
        <v>60.72</v>
      </c>
      <c r="I43" s="8">
        <v>66.19</v>
      </c>
      <c r="J43" s="8">
        <v>71.71</v>
      </c>
      <c r="K43" s="8">
        <v>76.75</v>
      </c>
      <c r="L43" s="8">
        <v>82.21</v>
      </c>
      <c r="M43" s="8">
        <v>87.2</v>
      </c>
      <c r="N43" s="8">
        <v>92.19</v>
      </c>
      <c r="O43" s="8">
        <v>97.14</v>
      </c>
      <c r="P43" s="8">
        <v>102.59</v>
      </c>
      <c r="Q43" s="8">
        <v>108.55</v>
      </c>
      <c r="R43" s="8">
        <v>113.34</v>
      </c>
      <c r="S43" s="8">
        <v>118.49</v>
      </c>
      <c r="T43" s="8">
        <v>123.36</v>
      </c>
      <c r="U43" s="8">
        <v>128.41</v>
      </c>
      <c r="V43" s="8">
        <v>134.88</v>
      </c>
      <c r="W43" s="8">
        <v>141.97</v>
      </c>
      <c r="X43" s="8">
        <v>148.43</v>
      </c>
      <c r="Y43" s="8">
        <v>153.32</v>
      </c>
      <c r="Z43" s="8">
        <v>158.35</v>
      </c>
      <c r="AA43" s="8"/>
      <c r="AB43" s="8"/>
      <c r="AC43" s="8"/>
      <c r="AD43" s="8"/>
      <c r="AE43" s="8"/>
      <c r="AF43" s="8"/>
      <c r="AG43" s="9"/>
      <c r="AH43" s="10"/>
      <c r="AI43" s="14">
        <v>1700</v>
      </c>
      <c r="AJ43" s="8" t="str">
        <f>ROUND(40.79*(1+AD6)*(1+AD5)+AD7,2)</f>
        <v>0</v>
      </c>
      <c r="AK43" s="8" t="str">
        <f>ROUND(45.62*(1+AD6)*(1+AD5)+AD7,2)</f>
        <v>0</v>
      </c>
      <c r="AL43" s="8" t="str">
        <f>ROUND(50.39*(1+AD6)*(1+AD5)+AD7,2)</f>
        <v>0</v>
      </c>
      <c r="AM43" s="8" t="str">
        <f>ROUND(55.26*(1+AD6)*(1+AD5)+AD7,2)</f>
        <v>0</v>
      </c>
      <c r="AN43" s="8" t="str">
        <f>ROUND(60.72*(1+AD6)*(1+AD5)+AD7,2)</f>
        <v>0</v>
      </c>
      <c r="AO43" s="8" t="str">
        <f>ROUND(66.19*(1+AD6)*(1+AD5)+AD7,2)</f>
        <v>0</v>
      </c>
      <c r="AP43" s="8" t="str">
        <f>ROUND(71.71*(1+AD6)*(1+AD5)+AD7,2)</f>
        <v>0</v>
      </c>
      <c r="AQ43" s="8" t="str">
        <f>ROUND(76.75*(1+AD6)*(1+AD5)+AD7,2)</f>
        <v>0</v>
      </c>
      <c r="AR43" s="8" t="str">
        <f>ROUND(82.21*(1+AD6)*(1+AD5)+AD7,2)</f>
        <v>0</v>
      </c>
      <c r="AS43" s="8" t="str">
        <f>ROUND(87.2*(1+AD6)*(1+AD5)+AD7,2)</f>
        <v>0</v>
      </c>
      <c r="AT43" s="8" t="str">
        <f>ROUND(92.19*(1+AD6)*(1+AD5)+AD7,2)</f>
        <v>0</v>
      </c>
      <c r="AU43" s="8" t="str">
        <f>ROUND(97.14*(1+AD6)*(1+AD5)+AD7,2)</f>
        <v>0</v>
      </c>
      <c r="AV43" s="8" t="str">
        <f>ROUND(102.59*(1+AD6)*(1+AD5)+AD7,2)</f>
        <v>0</v>
      </c>
      <c r="AW43" s="8" t="str">
        <f>ROUND(108.55*(1+AD6)*(1+AD5)+AD7,2)</f>
        <v>0</v>
      </c>
      <c r="AX43" s="8" t="str">
        <f>ROUND(113.34*(1+AD6)*(1+AD5)+AD7,2)</f>
        <v>0</v>
      </c>
      <c r="AY43" s="8" t="str">
        <f>ROUND(118.49*(1+AD6)*(1+AD5)+AD7,2)</f>
        <v>0</v>
      </c>
      <c r="AZ43" s="8" t="str">
        <f>ROUND(123.36*(1+AD6)*(1+AD5)+AD7,2)</f>
        <v>0</v>
      </c>
      <c r="BA43" s="8" t="str">
        <f>ROUND(128.41*(1+AD6)*(1+AD5)+AD7,2)</f>
        <v>0</v>
      </c>
      <c r="BB43" s="8" t="str">
        <f>ROUND(134.88*(1+AD6)*(1+AD5)+AD7,2)</f>
        <v>0</v>
      </c>
      <c r="BC43" s="8" t="str">
        <f>ROUND(141.97*(1+AD6)*(1+AD5)+AD7,2)</f>
        <v>0</v>
      </c>
      <c r="BD43" s="8" t="str">
        <f>ROUND(148.43*(1+AD6)*(1+AD5)+AD7,2)</f>
        <v>0</v>
      </c>
      <c r="BE43" t="str">
        <f>ROUND(153.32*(1+AD6)*(1+AD5)+AD7,2)</f>
        <v>0</v>
      </c>
      <c r="BF43" t="str">
        <f>ROUND(158.35*(1+AD6)*(1+AD5)+AD7,2)</f>
        <v>0</v>
      </c>
    </row>
    <row r="44" spans="1:58">
      <c r="A44" s="8"/>
      <c r="B44" s="10"/>
      <c r="C44" s="14">
        <v>1800</v>
      </c>
      <c r="D44" s="8">
        <v>41.14</v>
      </c>
      <c r="E44" s="8">
        <v>46.03</v>
      </c>
      <c r="F44" s="8">
        <v>50.92</v>
      </c>
      <c r="G44" s="8">
        <v>55.87</v>
      </c>
      <c r="H44" s="8">
        <v>61.42</v>
      </c>
      <c r="I44" s="8">
        <v>67</v>
      </c>
      <c r="J44" s="8">
        <v>72.61</v>
      </c>
      <c r="K44" s="8">
        <v>77.75</v>
      </c>
      <c r="L44" s="8">
        <v>83.3</v>
      </c>
      <c r="M44" s="8">
        <v>88.37</v>
      </c>
      <c r="N44" s="8">
        <v>93.46</v>
      </c>
      <c r="O44" s="8">
        <v>98.52</v>
      </c>
      <c r="P44" s="8">
        <v>104.05</v>
      </c>
      <c r="Q44" s="8">
        <v>110.12</v>
      </c>
      <c r="R44" s="8">
        <v>115.02</v>
      </c>
      <c r="S44" s="8">
        <v>120.22</v>
      </c>
      <c r="T44" s="8">
        <v>125.21</v>
      </c>
      <c r="U44" s="8">
        <v>130.36</v>
      </c>
      <c r="V44" s="8">
        <v>136.9</v>
      </c>
      <c r="W44" s="8">
        <v>144.09</v>
      </c>
      <c r="X44" s="8">
        <v>150.66</v>
      </c>
      <c r="Y44" s="8">
        <v>155.62</v>
      </c>
      <c r="Z44" s="8">
        <v>160.73</v>
      </c>
      <c r="AA44" s="8"/>
      <c r="AB44" s="8"/>
      <c r="AC44" s="8"/>
      <c r="AD44" s="8"/>
      <c r="AE44" s="8"/>
      <c r="AF44" s="8"/>
      <c r="AG44" s="9"/>
      <c r="AH44" s="10"/>
      <c r="AI44" s="14">
        <v>1800</v>
      </c>
      <c r="AJ44" s="8" t="str">
        <f>ROUND(41.14*(1+AD6)*(1+AD5)+AD7,2)</f>
        <v>0</v>
      </c>
      <c r="AK44" s="8" t="str">
        <f>ROUND(46.03*(1+AD6)*(1+AD5)+AD7,2)</f>
        <v>0</v>
      </c>
      <c r="AL44" s="8" t="str">
        <f>ROUND(50.92*(1+AD6)*(1+AD5)+AD7,2)</f>
        <v>0</v>
      </c>
      <c r="AM44" s="8" t="str">
        <f>ROUND(55.87*(1+AD6)*(1+AD5)+AD7,2)</f>
        <v>0</v>
      </c>
      <c r="AN44" s="8" t="str">
        <f>ROUND(61.42*(1+AD6)*(1+AD5)+AD7,2)</f>
        <v>0</v>
      </c>
      <c r="AO44" s="8" t="str">
        <f>ROUND(67*(1+AD6)*(1+AD5)+AD7,2)</f>
        <v>0</v>
      </c>
      <c r="AP44" s="8" t="str">
        <f>ROUND(72.61*(1+AD6)*(1+AD5)+AD7,2)</f>
        <v>0</v>
      </c>
      <c r="AQ44" s="8" t="str">
        <f>ROUND(77.75*(1+AD6)*(1+AD5)+AD7,2)</f>
        <v>0</v>
      </c>
      <c r="AR44" s="8" t="str">
        <f>ROUND(83.3*(1+AD6)*(1+AD5)+AD7,2)</f>
        <v>0</v>
      </c>
      <c r="AS44" s="8" t="str">
        <f>ROUND(88.37*(1+AD6)*(1+AD5)+AD7,2)</f>
        <v>0</v>
      </c>
      <c r="AT44" s="8" t="str">
        <f>ROUND(93.46*(1+AD6)*(1+AD5)+AD7,2)</f>
        <v>0</v>
      </c>
      <c r="AU44" s="8" t="str">
        <f>ROUND(98.52*(1+AD6)*(1+AD5)+AD7,2)</f>
        <v>0</v>
      </c>
      <c r="AV44" s="8" t="str">
        <f>ROUND(104.05*(1+AD6)*(1+AD5)+AD7,2)</f>
        <v>0</v>
      </c>
      <c r="AW44" s="8" t="str">
        <f>ROUND(110.12*(1+AD6)*(1+AD5)+AD7,2)</f>
        <v>0</v>
      </c>
      <c r="AX44" s="8" t="str">
        <f>ROUND(115.02*(1+AD6)*(1+AD5)+AD7,2)</f>
        <v>0</v>
      </c>
      <c r="AY44" s="8" t="str">
        <f>ROUND(120.22*(1+AD6)*(1+AD5)+AD7,2)</f>
        <v>0</v>
      </c>
      <c r="AZ44" s="8" t="str">
        <f>ROUND(125.21*(1+AD6)*(1+AD5)+AD7,2)</f>
        <v>0</v>
      </c>
      <c r="BA44" s="8" t="str">
        <f>ROUND(130.36*(1+AD6)*(1+AD5)+AD7,2)</f>
        <v>0</v>
      </c>
      <c r="BB44" s="8" t="str">
        <f>ROUND(136.9*(1+AD6)*(1+AD5)+AD7,2)</f>
        <v>0</v>
      </c>
      <c r="BC44" s="8" t="str">
        <f>ROUND(144.09*(1+AD6)*(1+AD5)+AD7,2)</f>
        <v>0</v>
      </c>
      <c r="BD44" s="8" t="str">
        <f>ROUND(150.66*(1+AD6)*(1+AD5)+AD7,2)</f>
        <v>0</v>
      </c>
      <c r="BE44" t="str">
        <f>ROUND(155.62*(1+AD6)*(1+AD5)+AD7,2)</f>
        <v>0</v>
      </c>
      <c r="BF44" t="str">
        <f>ROUND(160.73*(1+AD6)*(1+AD5)+AD7,2)</f>
        <v>0</v>
      </c>
    </row>
    <row r="45" spans="1:58">
      <c r="A45" s="8"/>
      <c r="B45" s="10"/>
      <c r="C45" s="14">
        <v>1900</v>
      </c>
      <c r="D45" s="8">
        <v>41.46</v>
      </c>
      <c r="E45" s="8">
        <v>46.47</v>
      </c>
      <c r="F45" s="8">
        <v>51.43</v>
      </c>
      <c r="G45" s="8">
        <v>56.48</v>
      </c>
      <c r="H45" s="8">
        <v>62.15</v>
      </c>
      <c r="I45" s="8">
        <v>67.8</v>
      </c>
      <c r="J45" s="8">
        <v>73.5</v>
      </c>
      <c r="K45" s="8">
        <v>78.72</v>
      </c>
      <c r="L45" s="8">
        <v>84.38</v>
      </c>
      <c r="M45" s="8">
        <v>89.56</v>
      </c>
      <c r="N45" s="8">
        <v>94.74</v>
      </c>
      <c r="O45" s="8">
        <v>99.9</v>
      </c>
      <c r="P45" s="8">
        <v>105.51</v>
      </c>
      <c r="Q45" s="8">
        <v>111.67</v>
      </c>
      <c r="R45" s="8">
        <v>116.66</v>
      </c>
      <c r="S45" s="8">
        <v>121.99</v>
      </c>
      <c r="T45" s="8">
        <v>127.06</v>
      </c>
      <c r="U45" s="8">
        <v>132.28</v>
      </c>
      <c r="V45" s="8">
        <v>138.95</v>
      </c>
      <c r="W45" s="8">
        <v>146.24</v>
      </c>
      <c r="X45" s="8">
        <v>152.89</v>
      </c>
      <c r="Y45" s="8">
        <v>157.95</v>
      </c>
      <c r="Z45" s="8">
        <v>163.12</v>
      </c>
      <c r="AA45" s="8"/>
      <c r="AB45" s="8"/>
      <c r="AC45" s="8"/>
      <c r="AD45" s="8"/>
      <c r="AE45" s="8"/>
      <c r="AF45" s="8"/>
      <c r="AG45" s="9"/>
      <c r="AH45" s="10"/>
      <c r="AI45" s="14">
        <v>1900</v>
      </c>
      <c r="AJ45" s="8" t="str">
        <f>ROUND(41.46*(1+AD6)*(1+AD5)+AD7,2)</f>
        <v>0</v>
      </c>
      <c r="AK45" s="8" t="str">
        <f>ROUND(46.47*(1+AD6)*(1+AD5)+AD7,2)</f>
        <v>0</v>
      </c>
      <c r="AL45" s="8" t="str">
        <f>ROUND(51.43*(1+AD6)*(1+AD5)+AD7,2)</f>
        <v>0</v>
      </c>
      <c r="AM45" s="8" t="str">
        <f>ROUND(56.48*(1+AD6)*(1+AD5)+AD7,2)</f>
        <v>0</v>
      </c>
      <c r="AN45" s="8" t="str">
        <f>ROUND(62.15*(1+AD6)*(1+AD5)+AD7,2)</f>
        <v>0</v>
      </c>
      <c r="AO45" s="8" t="str">
        <f>ROUND(67.8*(1+AD6)*(1+AD5)+AD7,2)</f>
        <v>0</v>
      </c>
      <c r="AP45" s="8" t="str">
        <f>ROUND(73.5*(1+AD6)*(1+AD5)+AD7,2)</f>
        <v>0</v>
      </c>
      <c r="AQ45" s="8" t="str">
        <f>ROUND(78.72*(1+AD6)*(1+AD5)+AD7,2)</f>
        <v>0</v>
      </c>
      <c r="AR45" s="8" t="str">
        <f>ROUND(84.38*(1+AD6)*(1+AD5)+AD7,2)</f>
        <v>0</v>
      </c>
      <c r="AS45" s="8" t="str">
        <f>ROUND(89.56*(1+AD6)*(1+AD5)+AD7,2)</f>
        <v>0</v>
      </c>
      <c r="AT45" s="8" t="str">
        <f>ROUND(94.74*(1+AD6)*(1+AD5)+AD7,2)</f>
        <v>0</v>
      </c>
      <c r="AU45" s="8" t="str">
        <f>ROUND(99.9*(1+AD6)*(1+AD5)+AD7,2)</f>
        <v>0</v>
      </c>
      <c r="AV45" s="8" t="str">
        <f>ROUND(105.51*(1+AD6)*(1+AD5)+AD7,2)</f>
        <v>0</v>
      </c>
      <c r="AW45" s="8" t="str">
        <f>ROUND(111.67*(1+AD6)*(1+AD5)+AD7,2)</f>
        <v>0</v>
      </c>
      <c r="AX45" s="8" t="str">
        <f>ROUND(116.66*(1+AD6)*(1+AD5)+AD7,2)</f>
        <v>0</v>
      </c>
      <c r="AY45" s="8" t="str">
        <f>ROUND(121.99*(1+AD6)*(1+AD5)+AD7,2)</f>
        <v>0</v>
      </c>
      <c r="AZ45" s="8" t="str">
        <f>ROUND(127.06*(1+AD6)*(1+AD5)+AD7,2)</f>
        <v>0</v>
      </c>
      <c r="BA45" s="8" t="str">
        <f>ROUND(132.28*(1+AD6)*(1+AD5)+AD7,2)</f>
        <v>0</v>
      </c>
      <c r="BB45" s="8" t="str">
        <f>ROUND(138.95*(1+AD6)*(1+AD5)+AD7,2)</f>
        <v>0</v>
      </c>
      <c r="BC45" s="8" t="str">
        <f>ROUND(146.24*(1+AD6)*(1+AD5)+AD7,2)</f>
        <v>0</v>
      </c>
      <c r="BD45" s="8" t="str">
        <f>ROUND(152.89*(1+AD6)*(1+AD5)+AD7,2)</f>
        <v>0</v>
      </c>
      <c r="BE45" t="str">
        <f>ROUND(157.95*(1+AD6)*(1+AD5)+AD7,2)</f>
        <v>0</v>
      </c>
      <c r="BF45" t="str">
        <f>ROUND(163.12*(1+AD6)*(1+AD5)+AD7,2)</f>
        <v>0</v>
      </c>
    </row>
    <row r="46" spans="1:58">
      <c r="A46" s="8"/>
      <c r="B46" s="10"/>
      <c r="C46" s="14">
        <v>2000</v>
      </c>
      <c r="D46" s="8">
        <v>41.8</v>
      </c>
      <c r="E46" s="8">
        <v>46.88</v>
      </c>
      <c r="F46" s="8">
        <v>51.96</v>
      </c>
      <c r="G46" s="8">
        <v>57.1</v>
      </c>
      <c r="H46" s="8">
        <v>62.86</v>
      </c>
      <c r="I46" s="8">
        <v>68.6</v>
      </c>
      <c r="J46" s="8">
        <v>74.41</v>
      </c>
      <c r="K46" s="8">
        <v>79.74</v>
      </c>
      <c r="L46" s="8">
        <v>85.46</v>
      </c>
      <c r="M46" s="8">
        <v>90.73</v>
      </c>
      <c r="N46" s="8">
        <v>96.02</v>
      </c>
      <c r="O46" s="8">
        <v>101.28</v>
      </c>
      <c r="P46" s="8">
        <v>106.99</v>
      </c>
      <c r="Q46" s="8">
        <v>113.25</v>
      </c>
      <c r="R46" s="8">
        <v>118.31</v>
      </c>
      <c r="S46" s="8">
        <v>123.73</v>
      </c>
      <c r="T46" s="8">
        <v>128.9</v>
      </c>
      <c r="U46" s="8">
        <v>134.23</v>
      </c>
      <c r="V46" s="8">
        <v>140.99</v>
      </c>
      <c r="W46" s="8">
        <v>148.35</v>
      </c>
      <c r="X46" s="8">
        <v>155.11</v>
      </c>
      <c r="Y46" s="8">
        <v>160.27</v>
      </c>
      <c r="Z46" s="8">
        <v>165.5</v>
      </c>
      <c r="AA46" s="8"/>
      <c r="AB46" s="8"/>
      <c r="AC46" s="8"/>
      <c r="AD46" s="8"/>
      <c r="AE46" s="8"/>
      <c r="AF46" s="8"/>
      <c r="AG46" s="9"/>
      <c r="AH46" s="10"/>
      <c r="AI46" s="14">
        <v>2000</v>
      </c>
      <c r="AJ46" s="8" t="str">
        <f>ROUND(41.8*(1+AD6)*(1+AD5)+AD7,2)</f>
        <v>0</v>
      </c>
      <c r="AK46" s="8" t="str">
        <f>ROUND(46.88*(1+AD6)*(1+AD5)+AD7,2)</f>
        <v>0</v>
      </c>
      <c r="AL46" s="8" t="str">
        <f>ROUND(51.96*(1+AD6)*(1+AD5)+AD7,2)</f>
        <v>0</v>
      </c>
      <c r="AM46" s="8" t="str">
        <f>ROUND(57.1*(1+AD6)*(1+AD5)+AD7,2)</f>
        <v>0</v>
      </c>
      <c r="AN46" s="8" t="str">
        <f>ROUND(62.86*(1+AD6)*(1+AD5)+AD7,2)</f>
        <v>0</v>
      </c>
      <c r="AO46" s="8" t="str">
        <f>ROUND(68.6*(1+AD6)*(1+AD5)+AD7,2)</f>
        <v>0</v>
      </c>
      <c r="AP46" s="8" t="str">
        <f>ROUND(74.41*(1+AD6)*(1+AD5)+AD7,2)</f>
        <v>0</v>
      </c>
      <c r="AQ46" s="8" t="str">
        <f>ROUND(79.74*(1+AD6)*(1+AD5)+AD7,2)</f>
        <v>0</v>
      </c>
      <c r="AR46" s="8" t="str">
        <f>ROUND(85.46*(1+AD6)*(1+AD5)+AD7,2)</f>
        <v>0</v>
      </c>
      <c r="AS46" s="8" t="str">
        <f>ROUND(90.73*(1+AD6)*(1+AD5)+AD7,2)</f>
        <v>0</v>
      </c>
      <c r="AT46" s="8" t="str">
        <f>ROUND(96.02*(1+AD6)*(1+AD5)+AD7,2)</f>
        <v>0</v>
      </c>
      <c r="AU46" s="8" t="str">
        <f>ROUND(101.28*(1+AD6)*(1+AD5)+AD7,2)</f>
        <v>0</v>
      </c>
      <c r="AV46" s="8" t="str">
        <f>ROUND(106.99*(1+AD6)*(1+AD5)+AD7,2)</f>
        <v>0</v>
      </c>
      <c r="AW46" s="8" t="str">
        <f>ROUND(113.25*(1+AD6)*(1+AD5)+AD7,2)</f>
        <v>0</v>
      </c>
      <c r="AX46" s="8" t="str">
        <f>ROUND(118.31*(1+AD6)*(1+AD5)+AD7,2)</f>
        <v>0</v>
      </c>
      <c r="AY46" s="8" t="str">
        <f>ROUND(123.73*(1+AD6)*(1+AD5)+AD7,2)</f>
        <v>0</v>
      </c>
      <c r="AZ46" s="8" t="str">
        <f>ROUND(128.9*(1+AD6)*(1+AD5)+AD7,2)</f>
        <v>0</v>
      </c>
      <c r="BA46" s="8" t="str">
        <f>ROUND(134.23*(1+AD6)*(1+AD5)+AD7,2)</f>
        <v>0</v>
      </c>
      <c r="BB46" s="8" t="str">
        <f>ROUND(140.99*(1+AD6)*(1+AD5)+AD7,2)</f>
        <v>0</v>
      </c>
      <c r="BC46" s="8" t="str">
        <f>ROUND(148.35*(1+AD6)*(1+AD5)+AD7,2)</f>
        <v>0</v>
      </c>
      <c r="BD46" s="8" t="str">
        <f>ROUND(155.11*(1+AD6)*(1+AD5)+AD7,2)</f>
        <v>0</v>
      </c>
      <c r="BE46" t="str">
        <f>ROUND(160.27*(1+AD6)*(1+AD5)+AD7,2)</f>
        <v>0</v>
      </c>
      <c r="BF46" t="str">
        <f>ROUND(165.5*(1+AD6)*(1+AD5)+AD7,2)</f>
        <v>0</v>
      </c>
    </row>
    <row r="47" spans="1:58">
      <c r="A47" s="8"/>
      <c r="B47" s="10"/>
      <c r="C47" s="14">
        <v>2100</v>
      </c>
      <c r="D47" s="8">
        <v>42.13</v>
      </c>
      <c r="E47" s="8">
        <v>47.32</v>
      </c>
      <c r="F47" s="8">
        <v>52.5</v>
      </c>
      <c r="G47" s="8">
        <v>57.71</v>
      </c>
      <c r="H47" s="8">
        <v>63.55</v>
      </c>
      <c r="I47" s="8">
        <v>69.4</v>
      </c>
      <c r="J47" s="8">
        <v>75.31</v>
      </c>
      <c r="K47" s="8">
        <v>80.74</v>
      </c>
      <c r="L47" s="8">
        <v>86.55</v>
      </c>
      <c r="M47" s="8">
        <v>91.91</v>
      </c>
      <c r="N47" s="8">
        <v>97.29</v>
      </c>
      <c r="O47" s="8">
        <v>102.64</v>
      </c>
      <c r="P47" s="8">
        <v>108.44</v>
      </c>
      <c r="Q47" s="8">
        <v>114.81</v>
      </c>
      <c r="R47" s="8">
        <v>119.99</v>
      </c>
      <c r="S47" s="8">
        <v>125.5</v>
      </c>
      <c r="T47" s="8">
        <v>130.74</v>
      </c>
      <c r="U47" s="8">
        <v>136.16</v>
      </c>
      <c r="V47" s="8">
        <v>143</v>
      </c>
      <c r="W47" s="8">
        <v>150.49</v>
      </c>
      <c r="X47" s="8">
        <v>157.32</v>
      </c>
      <c r="Y47" s="8">
        <v>162.58</v>
      </c>
      <c r="Z47" s="8">
        <v>167.91</v>
      </c>
      <c r="AA47" s="8"/>
      <c r="AB47" s="8"/>
      <c r="AC47" s="8"/>
      <c r="AD47" s="8"/>
      <c r="AE47" s="8"/>
      <c r="AF47" s="8"/>
      <c r="AG47" s="9"/>
      <c r="AH47" s="10"/>
      <c r="AI47" s="14">
        <v>2100</v>
      </c>
      <c r="AJ47" s="8" t="str">
        <f>ROUND(42.13*(1+AD6)*(1+AD5)+AD7,2)</f>
        <v>0</v>
      </c>
      <c r="AK47" s="8" t="str">
        <f>ROUND(47.32*(1+AD6)*(1+AD5)+AD7,2)</f>
        <v>0</v>
      </c>
      <c r="AL47" s="8" t="str">
        <f>ROUND(52.5*(1+AD6)*(1+AD5)+AD7,2)</f>
        <v>0</v>
      </c>
      <c r="AM47" s="8" t="str">
        <f>ROUND(57.71*(1+AD6)*(1+AD5)+AD7,2)</f>
        <v>0</v>
      </c>
      <c r="AN47" s="8" t="str">
        <f>ROUND(63.55*(1+AD6)*(1+AD5)+AD7,2)</f>
        <v>0</v>
      </c>
      <c r="AO47" s="8" t="str">
        <f>ROUND(69.4*(1+AD6)*(1+AD5)+AD7,2)</f>
        <v>0</v>
      </c>
      <c r="AP47" s="8" t="str">
        <f>ROUND(75.31*(1+AD6)*(1+AD5)+AD7,2)</f>
        <v>0</v>
      </c>
      <c r="AQ47" s="8" t="str">
        <f>ROUND(80.74*(1+AD6)*(1+AD5)+AD7,2)</f>
        <v>0</v>
      </c>
      <c r="AR47" s="8" t="str">
        <f>ROUND(86.55*(1+AD6)*(1+AD5)+AD7,2)</f>
        <v>0</v>
      </c>
      <c r="AS47" s="8" t="str">
        <f>ROUND(91.91*(1+AD6)*(1+AD5)+AD7,2)</f>
        <v>0</v>
      </c>
      <c r="AT47" s="8" t="str">
        <f>ROUND(97.29*(1+AD6)*(1+AD5)+AD7,2)</f>
        <v>0</v>
      </c>
      <c r="AU47" s="8" t="str">
        <f>ROUND(102.64*(1+AD6)*(1+AD5)+AD7,2)</f>
        <v>0</v>
      </c>
      <c r="AV47" s="8" t="str">
        <f>ROUND(108.44*(1+AD6)*(1+AD5)+AD7,2)</f>
        <v>0</v>
      </c>
      <c r="AW47" s="8" t="str">
        <f>ROUND(114.81*(1+AD6)*(1+AD5)+AD7,2)</f>
        <v>0</v>
      </c>
      <c r="AX47" s="8" t="str">
        <f>ROUND(119.99*(1+AD6)*(1+AD5)+AD7,2)</f>
        <v>0</v>
      </c>
      <c r="AY47" s="8" t="str">
        <f>ROUND(125.5*(1+AD6)*(1+AD5)+AD7,2)</f>
        <v>0</v>
      </c>
      <c r="AZ47" s="8" t="str">
        <f>ROUND(130.74*(1+AD6)*(1+AD5)+AD7,2)</f>
        <v>0</v>
      </c>
      <c r="BA47" s="8" t="str">
        <f>ROUND(136.16*(1+AD6)*(1+AD5)+AD7,2)</f>
        <v>0</v>
      </c>
      <c r="BB47" s="8" t="str">
        <f>ROUND(143*(1+AD6)*(1+AD5)+AD7,2)</f>
        <v>0</v>
      </c>
      <c r="BC47" s="8" t="str">
        <f>ROUND(150.49*(1+AD6)*(1+AD5)+AD7,2)</f>
        <v>0</v>
      </c>
      <c r="BD47" s="8" t="str">
        <f>ROUND(157.32*(1+AD6)*(1+AD5)+AD7,2)</f>
        <v>0</v>
      </c>
      <c r="BE47" t="str">
        <f>ROUND(162.58*(1+AD6)*(1+AD5)+AD7,2)</f>
        <v>0</v>
      </c>
      <c r="BF47" t="str">
        <f>ROUND(167.91*(1+AD6)*(1+AD5)+AD7,2)</f>
        <v>0</v>
      </c>
    </row>
    <row r="48" spans="1:58">
      <c r="A48" s="8"/>
      <c r="B48" s="10"/>
      <c r="C48" s="14">
        <v>2200</v>
      </c>
      <c r="D48" s="8">
        <v>42.45</v>
      </c>
      <c r="E48" s="8">
        <v>47.74</v>
      </c>
      <c r="F48" s="8">
        <v>53.01</v>
      </c>
      <c r="G48" s="8">
        <v>58.34</v>
      </c>
      <c r="H48" s="8">
        <v>64.27</v>
      </c>
      <c r="I48" s="8">
        <v>70.22</v>
      </c>
      <c r="J48" s="8">
        <v>76.31</v>
      </c>
      <c r="K48" s="8">
        <v>81.71</v>
      </c>
      <c r="L48" s="8">
        <v>87.64</v>
      </c>
      <c r="M48" s="8">
        <v>93.11</v>
      </c>
      <c r="N48" s="8">
        <v>98.57</v>
      </c>
      <c r="O48" s="8">
        <v>103.98</v>
      </c>
      <c r="P48" s="8">
        <v>109.91</v>
      </c>
      <c r="Q48" s="8">
        <v>116.36</v>
      </c>
      <c r="R48" s="8">
        <v>121.63</v>
      </c>
      <c r="S48" s="8">
        <v>127.26</v>
      </c>
      <c r="T48" s="8">
        <v>132.57</v>
      </c>
      <c r="U48" s="8">
        <v>138.11</v>
      </c>
      <c r="V48" s="8">
        <v>145.04</v>
      </c>
      <c r="W48" s="8">
        <v>152.61</v>
      </c>
      <c r="X48" s="8">
        <v>159.54</v>
      </c>
      <c r="Y48" s="8">
        <v>164.9</v>
      </c>
      <c r="Z48" s="8">
        <v>170.29</v>
      </c>
      <c r="AA48" s="8"/>
      <c r="AB48" s="8"/>
      <c r="AC48" s="8"/>
      <c r="AD48" s="8"/>
      <c r="AE48" s="8"/>
      <c r="AF48" s="8"/>
      <c r="AG48" s="9"/>
      <c r="AH48" s="10"/>
      <c r="AI48" s="14">
        <v>2200</v>
      </c>
      <c r="AJ48" s="8" t="str">
        <f>ROUND(42.45*(1+AD6)*(1+AD5)+AD7,2)</f>
        <v>0</v>
      </c>
      <c r="AK48" s="8" t="str">
        <f>ROUND(47.74*(1+AD6)*(1+AD5)+AD7,2)</f>
        <v>0</v>
      </c>
      <c r="AL48" s="8" t="str">
        <f>ROUND(53.01*(1+AD6)*(1+AD5)+AD7,2)</f>
        <v>0</v>
      </c>
      <c r="AM48" s="8" t="str">
        <f>ROUND(58.34*(1+AD6)*(1+AD5)+AD7,2)</f>
        <v>0</v>
      </c>
      <c r="AN48" s="8" t="str">
        <f>ROUND(64.27*(1+AD6)*(1+AD5)+AD7,2)</f>
        <v>0</v>
      </c>
      <c r="AO48" s="8" t="str">
        <f>ROUND(70.22*(1+AD6)*(1+AD5)+AD7,2)</f>
        <v>0</v>
      </c>
      <c r="AP48" s="8" t="str">
        <f>ROUND(76.31*(1+AD6)*(1+AD5)+AD7,2)</f>
        <v>0</v>
      </c>
      <c r="AQ48" s="8" t="str">
        <f>ROUND(81.71*(1+AD6)*(1+AD5)+AD7,2)</f>
        <v>0</v>
      </c>
      <c r="AR48" s="8" t="str">
        <f>ROUND(87.64*(1+AD6)*(1+AD5)+AD7,2)</f>
        <v>0</v>
      </c>
      <c r="AS48" s="8" t="str">
        <f>ROUND(93.11*(1+AD6)*(1+AD5)+AD7,2)</f>
        <v>0</v>
      </c>
      <c r="AT48" s="8" t="str">
        <f>ROUND(98.57*(1+AD6)*(1+AD5)+AD7,2)</f>
        <v>0</v>
      </c>
      <c r="AU48" s="8" t="str">
        <f>ROUND(103.98*(1+AD6)*(1+AD5)+AD7,2)</f>
        <v>0</v>
      </c>
      <c r="AV48" s="8" t="str">
        <f>ROUND(109.91*(1+AD6)*(1+AD5)+AD7,2)</f>
        <v>0</v>
      </c>
      <c r="AW48" s="8" t="str">
        <f>ROUND(116.36*(1+AD6)*(1+AD5)+AD7,2)</f>
        <v>0</v>
      </c>
      <c r="AX48" s="8" t="str">
        <f>ROUND(121.63*(1+AD6)*(1+AD5)+AD7,2)</f>
        <v>0</v>
      </c>
      <c r="AY48" s="8" t="str">
        <f>ROUND(127.26*(1+AD6)*(1+AD5)+AD7,2)</f>
        <v>0</v>
      </c>
      <c r="AZ48" s="8" t="str">
        <f>ROUND(132.57*(1+AD6)*(1+AD5)+AD7,2)</f>
        <v>0</v>
      </c>
      <c r="BA48" s="8" t="str">
        <f>ROUND(138.11*(1+AD6)*(1+AD5)+AD7,2)</f>
        <v>0</v>
      </c>
      <c r="BB48" s="8" t="str">
        <f>ROUND(145.04*(1+AD6)*(1+AD5)+AD7,2)</f>
        <v>0</v>
      </c>
      <c r="BC48" s="8" t="str">
        <f>ROUND(152.61*(1+AD6)*(1+AD5)+AD7,2)</f>
        <v>0</v>
      </c>
      <c r="BD48" s="8" t="str">
        <f>ROUND(159.54*(1+AD6)*(1+AD5)+AD7,2)</f>
        <v>0</v>
      </c>
      <c r="BE48" t="str">
        <f>ROUND(164.9*(1+AD6)*(1+AD5)+AD7,2)</f>
        <v>0</v>
      </c>
      <c r="BF48" t="str">
        <f>ROUND(170.29*(1+AD6)*(1+AD5)+AD7,2)</f>
        <v>0</v>
      </c>
    </row>
    <row r="49" spans="1:58">
      <c r="A49" s="8"/>
      <c r="B49" s="10"/>
      <c r="C49" s="14">
        <v>2300</v>
      </c>
      <c r="D49" s="8">
        <v>42.79</v>
      </c>
      <c r="E49" s="8">
        <v>48.18</v>
      </c>
      <c r="F49" s="8">
        <v>53.53</v>
      </c>
      <c r="G49" s="8">
        <v>58.95</v>
      </c>
      <c r="H49" s="8">
        <v>64.97</v>
      </c>
      <c r="I49" s="8">
        <v>71.02</v>
      </c>
      <c r="J49" s="8">
        <v>77.13</v>
      </c>
      <c r="K49" s="8">
        <v>82.72</v>
      </c>
      <c r="L49" s="8">
        <v>88.73</v>
      </c>
      <c r="M49" s="8">
        <v>94.3</v>
      </c>
      <c r="N49" s="8">
        <v>98.83</v>
      </c>
      <c r="O49" s="8">
        <v>105.38</v>
      </c>
      <c r="P49" s="8">
        <v>111.37</v>
      </c>
      <c r="Q49" s="8">
        <v>117.92</v>
      </c>
      <c r="R49" s="8">
        <v>123.29</v>
      </c>
      <c r="S49" s="8">
        <v>129</v>
      </c>
      <c r="T49" s="8">
        <v>134.43</v>
      </c>
      <c r="U49" s="8">
        <v>140.03</v>
      </c>
      <c r="V49" s="8">
        <v>147.09</v>
      </c>
      <c r="W49" s="8">
        <v>154.74</v>
      </c>
      <c r="X49" s="8">
        <v>161.77</v>
      </c>
      <c r="Y49" s="8">
        <v>167.2</v>
      </c>
      <c r="Z49" s="8">
        <v>172.65</v>
      </c>
      <c r="AA49" s="8"/>
      <c r="AB49" s="8"/>
      <c r="AC49" s="8"/>
      <c r="AD49" s="8"/>
      <c r="AE49" s="8"/>
      <c r="AF49" s="8"/>
      <c r="AG49" s="9"/>
      <c r="AH49" s="10"/>
      <c r="AI49" s="14">
        <v>2300</v>
      </c>
      <c r="AJ49" s="8" t="str">
        <f>ROUND(42.79*(1+AD6)*(1+AD5)+AD7,2)</f>
        <v>0</v>
      </c>
      <c r="AK49" s="8" t="str">
        <f>ROUND(48.18*(1+AD6)*(1+AD5)+AD7,2)</f>
        <v>0</v>
      </c>
      <c r="AL49" s="8" t="str">
        <f>ROUND(53.53*(1+AD6)*(1+AD5)+AD7,2)</f>
        <v>0</v>
      </c>
      <c r="AM49" s="8" t="str">
        <f>ROUND(58.95*(1+AD6)*(1+AD5)+AD7,2)</f>
        <v>0</v>
      </c>
      <c r="AN49" s="8" t="str">
        <f>ROUND(64.97*(1+AD6)*(1+AD5)+AD7,2)</f>
        <v>0</v>
      </c>
      <c r="AO49" s="8" t="str">
        <f>ROUND(71.02*(1+AD6)*(1+AD5)+AD7,2)</f>
        <v>0</v>
      </c>
      <c r="AP49" s="8" t="str">
        <f>ROUND(77.13*(1+AD6)*(1+AD5)+AD7,2)</f>
        <v>0</v>
      </c>
      <c r="AQ49" s="8" t="str">
        <f>ROUND(82.72*(1+AD6)*(1+AD5)+AD7,2)</f>
        <v>0</v>
      </c>
      <c r="AR49" s="8" t="str">
        <f>ROUND(88.73*(1+AD6)*(1+AD5)+AD7,2)</f>
        <v>0</v>
      </c>
      <c r="AS49" s="8" t="str">
        <f>ROUND(94.3*(1+AD6)*(1+AD5)+AD7,2)</f>
        <v>0</v>
      </c>
      <c r="AT49" s="8" t="str">
        <f>ROUND(98.83*(1+AD6)*(1+AD5)+AD7,2)</f>
        <v>0</v>
      </c>
      <c r="AU49" s="8" t="str">
        <f>ROUND(105.38*(1+AD6)*(1+AD5)+AD7,2)</f>
        <v>0</v>
      </c>
      <c r="AV49" s="8" t="str">
        <f>ROUND(111.37*(1+AD6)*(1+AD5)+AD7,2)</f>
        <v>0</v>
      </c>
      <c r="AW49" s="8" t="str">
        <f>ROUND(117.92*(1+AD6)*(1+AD5)+AD7,2)</f>
        <v>0</v>
      </c>
      <c r="AX49" s="8" t="str">
        <f>ROUND(123.29*(1+AD6)*(1+AD5)+AD7,2)</f>
        <v>0</v>
      </c>
      <c r="AY49" s="8" t="str">
        <f>ROUND(129*(1+AD6)*(1+AD5)+AD7,2)</f>
        <v>0</v>
      </c>
      <c r="AZ49" s="8" t="str">
        <f>ROUND(134.43*(1+AD6)*(1+AD5)+AD7,2)</f>
        <v>0</v>
      </c>
      <c r="BA49" s="8" t="str">
        <f>ROUND(140.03*(1+AD6)*(1+AD5)+AD7,2)</f>
        <v>0</v>
      </c>
      <c r="BB49" s="8" t="str">
        <f>ROUND(147.09*(1+AD6)*(1+AD5)+AD7,2)</f>
        <v>0</v>
      </c>
      <c r="BC49" s="8" t="str">
        <f>ROUND(154.74*(1+AD6)*(1+AD5)+AD7,2)</f>
        <v>0</v>
      </c>
      <c r="BD49" s="8" t="str">
        <f>ROUND(161.77*(1+AD6)*(1+AD5)+AD7,2)</f>
        <v>0</v>
      </c>
      <c r="BE49" t="str">
        <f>ROUND(167.2*(1+AD6)*(1+AD5)+AD7,2)</f>
        <v>0</v>
      </c>
      <c r="BF49" t="str">
        <f>ROUND(172.65*(1+AD6)*(1+AD5)+AD7,2)</f>
        <v>0</v>
      </c>
    </row>
    <row r="50" spans="1:58">
      <c r="A50" s="8"/>
      <c r="B50" s="10"/>
      <c r="C50" s="14">
        <v>2400</v>
      </c>
      <c r="D50" s="8">
        <v>43.13</v>
      </c>
      <c r="E50" s="8">
        <v>48.6</v>
      </c>
      <c r="F50" s="8">
        <v>54.04</v>
      </c>
      <c r="G50" s="8">
        <v>59.57</v>
      </c>
      <c r="H50" s="8">
        <v>65.68</v>
      </c>
      <c r="I50" s="8">
        <v>71.81</v>
      </c>
      <c r="J50" s="8">
        <v>78.01</v>
      </c>
      <c r="K50" s="8">
        <v>83.71</v>
      </c>
      <c r="L50" s="8">
        <v>89.81</v>
      </c>
      <c r="M50" s="8">
        <v>95.46</v>
      </c>
      <c r="N50" s="8">
        <v>101.13</v>
      </c>
      <c r="O50" s="8">
        <v>106.76</v>
      </c>
      <c r="P50" s="8">
        <v>112.83</v>
      </c>
      <c r="Q50" s="8">
        <v>119.5</v>
      </c>
      <c r="R50" s="8">
        <v>124.95</v>
      </c>
      <c r="S50" s="8">
        <v>130.75</v>
      </c>
      <c r="T50" s="8">
        <v>136.27</v>
      </c>
      <c r="U50" s="8">
        <v>141.99</v>
      </c>
      <c r="V50" s="8">
        <v>149.12</v>
      </c>
      <c r="W50" s="8">
        <v>156.86</v>
      </c>
      <c r="X50" s="8">
        <v>163.98</v>
      </c>
      <c r="Y50" s="8">
        <v>169.54</v>
      </c>
      <c r="Z50" s="8">
        <v>175.06</v>
      </c>
      <c r="AA50" s="8"/>
      <c r="AB50" s="8"/>
      <c r="AC50" s="8"/>
      <c r="AD50" s="8"/>
      <c r="AE50" s="8"/>
      <c r="AF50" s="8"/>
      <c r="AG50" s="9"/>
      <c r="AH50" s="10"/>
      <c r="AI50" s="14">
        <v>2400</v>
      </c>
      <c r="AJ50" s="8" t="str">
        <f>ROUND(43.13*(1+AD6)*(1+AD5)+AD7,2)</f>
        <v>0</v>
      </c>
      <c r="AK50" s="8" t="str">
        <f>ROUND(48.6*(1+AD6)*(1+AD5)+AD7,2)</f>
        <v>0</v>
      </c>
      <c r="AL50" s="8" t="str">
        <f>ROUND(54.04*(1+AD6)*(1+AD5)+AD7,2)</f>
        <v>0</v>
      </c>
      <c r="AM50" s="8" t="str">
        <f>ROUND(59.57*(1+AD6)*(1+AD5)+AD7,2)</f>
        <v>0</v>
      </c>
      <c r="AN50" s="8" t="str">
        <f>ROUND(65.68*(1+AD6)*(1+AD5)+AD7,2)</f>
        <v>0</v>
      </c>
      <c r="AO50" s="8" t="str">
        <f>ROUND(71.81*(1+AD6)*(1+AD5)+AD7,2)</f>
        <v>0</v>
      </c>
      <c r="AP50" s="8" t="str">
        <f>ROUND(78.01*(1+AD6)*(1+AD5)+AD7,2)</f>
        <v>0</v>
      </c>
      <c r="AQ50" s="8" t="str">
        <f>ROUND(83.71*(1+AD6)*(1+AD5)+AD7,2)</f>
        <v>0</v>
      </c>
      <c r="AR50" s="8" t="str">
        <f>ROUND(89.81*(1+AD6)*(1+AD5)+AD7,2)</f>
        <v>0</v>
      </c>
      <c r="AS50" s="8" t="str">
        <f>ROUND(95.46*(1+AD6)*(1+AD5)+AD7,2)</f>
        <v>0</v>
      </c>
      <c r="AT50" s="8" t="str">
        <f>ROUND(101.13*(1+AD6)*(1+AD5)+AD7,2)</f>
        <v>0</v>
      </c>
      <c r="AU50" s="8" t="str">
        <f>ROUND(106.76*(1+AD6)*(1+AD5)+AD7,2)</f>
        <v>0</v>
      </c>
      <c r="AV50" s="8" t="str">
        <f>ROUND(112.83*(1+AD6)*(1+AD5)+AD7,2)</f>
        <v>0</v>
      </c>
      <c r="AW50" s="8" t="str">
        <f>ROUND(119.5*(1+AD6)*(1+AD5)+AD7,2)</f>
        <v>0</v>
      </c>
      <c r="AX50" s="8" t="str">
        <f>ROUND(124.95*(1+AD6)*(1+AD5)+AD7,2)</f>
        <v>0</v>
      </c>
      <c r="AY50" s="8" t="str">
        <f>ROUND(130.75*(1+AD6)*(1+AD5)+AD7,2)</f>
        <v>0</v>
      </c>
      <c r="AZ50" s="8" t="str">
        <f>ROUND(136.27*(1+AD6)*(1+AD5)+AD7,2)</f>
        <v>0</v>
      </c>
      <c r="BA50" s="8" t="str">
        <f>ROUND(141.99*(1+AD6)*(1+AD5)+AD7,2)</f>
        <v>0</v>
      </c>
      <c r="BB50" s="8" t="str">
        <f>ROUND(149.12*(1+AD6)*(1+AD5)+AD7,2)</f>
        <v>0</v>
      </c>
      <c r="BC50" s="8" t="str">
        <f>ROUND(156.86*(1+AD6)*(1+AD5)+AD7,2)</f>
        <v>0</v>
      </c>
      <c r="BD50" s="8" t="str">
        <f>ROUND(163.98*(1+AD6)*(1+AD5)+AD7,2)</f>
        <v>0</v>
      </c>
      <c r="BE50" t="str">
        <f>ROUND(169.54*(1+AD6)*(1+AD5)+AD7,2)</f>
        <v>0</v>
      </c>
      <c r="BF50" t="str">
        <f>ROUND(175.06*(1+AD6)*(1+AD5)+AD7,2)</f>
        <v>0</v>
      </c>
    </row>
    <row r="51" spans="1:58">
      <c r="A51" s="8"/>
      <c r="B51" s="10"/>
      <c r="C51" s="14">
        <v>2500</v>
      </c>
      <c r="D51" s="8">
        <v>44.23</v>
      </c>
      <c r="E51" s="8">
        <v>49.85</v>
      </c>
      <c r="F51" s="8">
        <v>55.46</v>
      </c>
      <c r="G51" s="8">
        <v>61.14</v>
      </c>
      <c r="H51" s="8">
        <v>67.41</v>
      </c>
      <c r="I51" s="8">
        <v>73.68</v>
      </c>
      <c r="J51" s="8">
        <v>80.03</v>
      </c>
      <c r="K51" s="8">
        <v>85.89</v>
      </c>
      <c r="L51" s="8">
        <v>92.16</v>
      </c>
      <c r="M51" s="8">
        <v>97.96</v>
      </c>
      <c r="N51" s="8">
        <v>103.79</v>
      </c>
      <c r="O51" s="8">
        <v>109.56</v>
      </c>
      <c r="P51" s="8">
        <v>115.79</v>
      </c>
      <c r="Q51" s="8">
        <v>122.63</v>
      </c>
      <c r="R51" s="8">
        <v>128.25</v>
      </c>
      <c r="S51" s="8">
        <v>134.19</v>
      </c>
      <c r="T51" s="8">
        <v>139.87</v>
      </c>
      <c r="U51" s="8">
        <v>145.74</v>
      </c>
      <c r="V51" s="8">
        <v>153.05</v>
      </c>
      <c r="W51" s="8">
        <v>160.93</v>
      </c>
      <c r="X51" s="8">
        <v>168.22</v>
      </c>
      <c r="Y51" s="8">
        <v>173.92</v>
      </c>
      <c r="Z51" s="8">
        <v>179.56</v>
      </c>
      <c r="AA51" s="8"/>
      <c r="AB51" s="8"/>
      <c r="AC51" s="8"/>
      <c r="AD51" s="8"/>
      <c r="AE51" s="8"/>
      <c r="AF51" s="8"/>
      <c r="AG51" s="9"/>
      <c r="AH51" s="10"/>
      <c r="AI51" s="14">
        <v>2500</v>
      </c>
      <c r="AJ51" s="8" t="str">
        <f>ROUND(44.23*(1+AD6)*(1+AD5)+AD7,2)</f>
        <v>0</v>
      </c>
      <c r="AK51" s="8" t="str">
        <f>ROUND(49.85*(1+AD6)*(1+AD5)+AD7,2)</f>
        <v>0</v>
      </c>
      <c r="AL51" s="8" t="str">
        <f>ROUND(55.46*(1+AD6)*(1+AD5)+AD7,2)</f>
        <v>0</v>
      </c>
      <c r="AM51" s="8" t="str">
        <f>ROUND(61.14*(1+AD6)*(1+AD5)+AD7,2)</f>
        <v>0</v>
      </c>
      <c r="AN51" s="8" t="str">
        <f>ROUND(67.41*(1+AD6)*(1+AD5)+AD7,2)</f>
        <v>0</v>
      </c>
      <c r="AO51" s="8" t="str">
        <f>ROUND(73.68*(1+AD6)*(1+AD5)+AD7,2)</f>
        <v>0</v>
      </c>
      <c r="AP51" s="8" t="str">
        <f>ROUND(80.03*(1+AD6)*(1+AD5)+AD7,2)</f>
        <v>0</v>
      </c>
      <c r="AQ51" s="8" t="str">
        <f>ROUND(85.89*(1+AD6)*(1+AD5)+AD7,2)</f>
        <v>0</v>
      </c>
      <c r="AR51" s="8" t="str">
        <f>ROUND(92.16*(1+AD6)*(1+AD5)+AD7,2)</f>
        <v>0</v>
      </c>
      <c r="AS51" s="8" t="str">
        <f>ROUND(97.96*(1+AD6)*(1+AD5)+AD7,2)</f>
        <v>0</v>
      </c>
      <c r="AT51" s="8" t="str">
        <f>ROUND(103.79*(1+AD6)*(1+AD5)+AD7,2)</f>
        <v>0</v>
      </c>
      <c r="AU51" s="8" t="str">
        <f>ROUND(109.56*(1+AD6)*(1+AD5)+AD7,2)</f>
        <v>0</v>
      </c>
      <c r="AV51" s="8" t="str">
        <f>ROUND(115.79*(1+AD6)*(1+AD5)+AD7,2)</f>
        <v>0</v>
      </c>
      <c r="AW51" s="8" t="str">
        <f>ROUND(122.63*(1+AD6)*(1+AD5)+AD7,2)</f>
        <v>0</v>
      </c>
      <c r="AX51" s="8" t="str">
        <f>ROUND(128.25*(1+AD6)*(1+AD5)+AD7,2)</f>
        <v>0</v>
      </c>
      <c r="AY51" s="8" t="str">
        <f>ROUND(134.19*(1+AD6)*(1+AD5)+AD7,2)</f>
        <v>0</v>
      </c>
      <c r="AZ51" s="8" t="str">
        <f>ROUND(139.87*(1+AD6)*(1+AD5)+AD7,2)</f>
        <v>0</v>
      </c>
      <c r="BA51" s="8" t="str">
        <f>ROUND(145.74*(1+AD6)*(1+AD5)+AD7,2)</f>
        <v>0</v>
      </c>
      <c r="BB51" s="8" t="str">
        <f>ROUND(153.05*(1+AD6)*(1+AD5)+AD7,2)</f>
        <v>0</v>
      </c>
      <c r="BC51" s="8" t="str">
        <f>ROUND(160.93*(1+AD6)*(1+AD5)+AD7,2)</f>
        <v>0</v>
      </c>
      <c r="BD51" s="8" t="str">
        <f>ROUND(168.22*(1+AD6)*(1+AD5)+AD7,2)</f>
        <v>0</v>
      </c>
      <c r="BE51" t="str">
        <f>ROUND(173.92*(1+AD6)*(1+AD5)+AD7,2)</f>
        <v>0</v>
      </c>
      <c r="BF51" t="str">
        <f>ROUND(179.56*(1+AD6)*(1+AD5)+AD7,2)</f>
        <v>0</v>
      </c>
    </row>
    <row r="52" spans="1:58">
      <c r="A52" s="8"/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9"/>
      <c r="AH52" s="9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1:58">
      <c r="A53" s="8"/>
      <c r="B53" s="9"/>
      <c r="C53" s="12" t="s">
        <v>17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8"/>
      <c r="AB53" s="8"/>
      <c r="AC53" s="8"/>
      <c r="AD53" s="8"/>
      <c r="AE53" s="8"/>
      <c r="AF53" s="8"/>
      <c r="AG53" s="9"/>
      <c r="AH53" s="9"/>
      <c r="AI53" s="12" t="s">
        <v>17</v>
      </c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5"/>
      <c r="BF53" s="5"/>
    </row>
    <row r="54" spans="1:58">
      <c r="A54" s="8"/>
      <c r="B54" s="9"/>
      <c r="C54" s="1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8"/>
      <c r="AB54" s="8"/>
      <c r="AC54" s="8"/>
      <c r="AD54" s="8"/>
      <c r="AE54" s="8"/>
      <c r="AF54" s="8"/>
      <c r="AG54" s="9"/>
      <c r="AH54" s="9"/>
      <c r="AI54" s="12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5"/>
      <c r="BF54" s="5"/>
    </row>
    <row r="55" spans="1:58">
      <c r="A55" s="8"/>
      <c r="B55" s="9"/>
      <c r="C55" s="13" t="s">
        <v>13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8"/>
      <c r="AB55" s="8"/>
      <c r="AC55" s="8"/>
      <c r="AD55" s="8"/>
      <c r="AE55" s="8"/>
      <c r="AF55" s="8"/>
      <c r="AG55" s="9"/>
      <c r="AH55" s="9"/>
      <c r="AI55" s="13" t="s">
        <v>13</v>
      </c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6"/>
      <c r="BF55" s="6"/>
    </row>
    <row r="56" spans="1:58">
      <c r="A56" s="8"/>
      <c r="B56" s="10"/>
      <c r="C56" s="14" t="s">
        <v>14</v>
      </c>
      <c r="D56" s="14">
        <v>300</v>
      </c>
      <c r="E56" s="14">
        <v>400</v>
      </c>
      <c r="F56" s="14">
        <v>500</v>
      </c>
      <c r="G56" s="14">
        <v>600</v>
      </c>
      <c r="H56" s="14">
        <v>700</v>
      </c>
      <c r="I56" s="14">
        <v>800</v>
      </c>
      <c r="J56" s="14">
        <v>900</v>
      </c>
      <c r="K56" s="14">
        <v>1000</v>
      </c>
      <c r="L56" s="14">
        <v>1100</v>
      </c>
      <c r="M56" s="14">
        <v>1200</v>
      </c>
      <c r="N56" s="14">
        <v>1300</v>
      </c>
      <c r="O56" s="14">
        <v>1400</v>
      </c>
      <c r="P56" s="14">
        <v>1500</v>
      </c>
      <c r="Q56" s="14">
        <v>1600</v>
      </c>
      <c r="R56" s="14">
        <v>1700</v>
      </c>
      <c r="S56" s="14">
        <v>1800</v>
      </c>
      <c r="T56" s="14">
        <v>1900</v>
      </c>
      <c r="U56" s="14">
        <v>2000</v>
      </c>
      <c r="V56" s="14">
        <v>2100</v>
      </c>
      <c r="W56" s="14">
        <v>2200</v>
      </c>
      <c r="X56" s="14">
        <v>2300</v>
      </c>
      <c r="Y56" s="14">
        <v>2400</v>
      </c>
      <c r="Z56" s="14">
        <v>2500</v>
      </c>
      <c r="AA56" s="8"/>
      <c r="AB56" s="8"/>
      <c r="AC56" s="8"/>
      <c r="AD56" s="8"/>
      <c r="AE56" s="8"/>
      <c r="AF56" s="8"/>
      <c r="AG56" s="9"/>
      <c r="AH56" s="10"/>
      <c r="AI56" s="14" t="s">
        <v>14</v>
      </c>
      <c r="AJ56" s="14">
        <v>300</v>
      </c>
      <c r="AK56" s="14">
        <v>400</v>
      </c>
      <c r="AL56" s="14">
        <v>500</v>
      </c>
      <c r="AM56" s="14">
        <v>600</v>
      </c>
      <c r="AN56" s="14">
        <v>700</v>
      </c>
      <c r="AO56" s="14">
        <v>800</v>
      </c>
      <c r="AP56" s="14">
        <v>900</v>
      </c>
      <c r="AQ56" s="14">
        <v>1000</v>
      </c>
      <c r="AR56" s="14">
        <v>1100</v>
      </c>
      <c r="AS56" s="14">
        <v>1200</v>
      </c>
      <c r="AT56" s="14">
        <v>1300</v>
      </c>
      <c r="AU56" s="14">
        <v>1400</v>
      </c>
      <c r="AV56" s="14">
        <v>1500</v>
      </c>
      <c r="AW56" s="14">
        <v>1600</v>
      </c>
      <c r="AX56" s="14">
        <v>1700</v>
      </c>
      <c r="AY56" s="14">
        <v>1800</v>
      </c>
      <c r="AZ56" s="14">
        <v>1900</v>
      </c>
      <c r="BA56" s="14">
        <v>2000</v>
      </c>
      <c r="BB56" s="14">
        <v>2100</v>
      </c>
      <c r="BC56" s="14">
        <v>2200</v>
      </c>
      <c r="BD56" s="14">
        <v>2300</v>
      </c>
      <c r="BE56" s="7">
        <v>2400</v>
      </c>
      <c r="BF56" s="7">
        <v>2500</v>
      </c>
    </row>
    <row r="57" spans="1:58">
      <c r="A57" s="8"/>
      <c r="B57" s="10" t="s">
        <v>15</v>
      </c>
      <c r="C57" s="14">
        <v>1000</v>
      </c>
      <c r="D57" s="8">
        <v>54.55</v>
      </c>
      <c r="E57" s="8">
        <v>60.58</v>
      </c>
      <c r="F57" s="8">
        <v>66.61</v>
      </c>
      <c r="G57" s="8">
        <v>72.71</v>
      </c>
      <c r="H57" s="8">
        <v>79.42</v>
      </c>
      <c r="I57" s="8">
        <v>86.14</v>
      </c>
      <c r="J57" s="8">
        <v>92.9</v>
      </c>
      <c r="K57" s="8">
        <v>99.16</v>
      </c>
      <c r="L57" s="8">
        <v>106.12</v>
      </c>
      <c r="M57" s="8">
        <v>112.33</v>
      </c>
      <c r="N57" s="8">
        <v>118.59</v>
      </c>
      <c r="O57" s="8">
        <v>124.77</v>
      </c>
      <c r="P57" s="8">
        <v>131.46</v>
      </c>
      <c r="Q57" s="8">
        <v>138.94</v>
      </c>
      <c r="R57" s="8">
        <v>145</v>
      </c>
      <c r="S57" s="8">
        <v>151.35</v>
      </c>
      <c r="T57" s="8">
        <v>157.48</v>
      </c>
      <c r="U57" s="8">
        <v>163.75</v>
      </c>
      <c r="V57" s="8">
        <v>171.73</v>
      </c>
      <c r="W57" s="8">
        <v>180.06</v>
      </c>
      <c r="X57" s="8">
        <v>187.72</v>
      </c>
      <c r="Y57" s="8">
        <v>193.86</v>
      </c>
      <c r="Z57" s="8">
        <v>200.13</v>
      </c>
      <c r="AA57" s="8"/>
      <c r="AB57" s="8"/>
      <c r="AC57" s="8"/>
      <c r="AD57" s="8"/>
      <c r="AE57" s="8"/>
      <c r="AF57" s="8"/>
      <c r="AG57" s="9"/>
      <c r="AH57" s="10" t="s">
        <v>15</v>
      </c>
      <c r="AI57" s="14">
        <v>1000</v>
      </c>
      <c r="AJ57" s="8" t="str">
        <f>ROUND(54.55*(1+AD6)*(1+AD5)+AD7,2)</f>
        <v>0</v>
      </c>
      <c r="AK57" s="8" t="str">
        <f>ROUND(60.58*(1+AD6)*(1+AD5)+AD7,2)</f>
        <v>0</v>
      </c>
      <c r="AL57" s="8" t="str">
        <f>ROUND(66.61*(1+AD6)*(1+AD5)+AD7,2)</f>
        <v>0</v>
      </c>
      <c r="AM57" s="8" t="str">
        <f>ROUND(72.71*(1+AD6)*(1+AD5)+AD7,2)</f>
        <v>0</v>
      </c>
      <c r="AN57" s="8" t="str">
        <f>ROUND(79.42*(1+AD6)*(1+AD5)+AD7,2)</f>
        <v>0</v>
      </c>
      <c r="AO57" s="8" t="str">
        <f>ROUND(86.14*(1+AD6)*(1+AD5)+AD7,2)</f>
        <v>0</v>
      </c>
      <c r="AP57" s="8" t="str">
        <f>ROUND(92.9*(1+AD6)*(1+AD5)+AD7,2)</f>
        <v>0</v>
      </c>
      <c r="AQ57" s="8" t="str">
        <f>ROUND(99.16*(1+AD6)*(1+AD5)+AD7,2)</f>
        <v>0</v>
      </c>
      <c r="AR57" s="8" t="str">
        <f>ROUND(106.12*(1+AD6)*(1+AD5)+AD7,2)</f>
        <v>0</v>
      </c>
      <c r="AS57" s="8" t="str">
        <f>ROUND(112.33*(1+AD6)*(1+AD5)+AD7,2)</f>
        <v>0</v>
      </c>
      <c r="AT57" s="8" t="str">
        <f>ROUND(118.59*(1+AD6)*(1+AD5)+AD7,2)</f>
        <v>0</v>
      </c>
      <c r="AU57" s="8" t="str">
        <f>ROUND(124.77*(1+AD6)*(1+AD5)+AD7,2)</f>
        <v>0</v>
      </c>
      <c r="AV57" s="8" t="str">
        <f>ROUND(131.46*(1+AD6)*(1+AD5)+AD7,2)</f>
        <v>0</v>
      </c>
      <c r="AW57" s="8" t="str">
        <f>ROUND(138.94*(1+AD6)*(1+AD5)+AD7,2)</f>
        <v>0</v>
      </c>
      <c r="AX57" s="8" t="str">
        <f>ROUND(145*(1+AD6)*(1+AD5)+AD7,2)</f>
        <v>0</v>
      </c>
      <c r="AY57" s="8" t="str">
        <f>ROUND(151.35*(1+AD6)*(1+AD5)+AD7,2)</f>
        <v>0</v>
      </c>
      <c r="AZ57" s="8" t="str">
        <f>ROUND(157.48*(1+AD6)*(1+AD5)+AD7,2)</f>
        <v>0</v>
      </c>
      <c r="BA57" s="8" t="str">
        <f>ROUND(163.75*(1+AD6)*(1+AD5)+AD7,2)</f>
        <v>0</v>
      </c>
      <c r="BB57" s="8" t="str">
        <f>ROUND(171.73*(1+AD6)*(1+AD5)+AD7,2)</f>
        <v>0</v>
      </c>
      <c r="BC57" s="8" t="str">
        <f>ROUND(180.06*(1+AD6)*(1+AD5)+AD7,2)</f>
        <v>0</v>
      </c>
      <c r="BD57" s="8" t="str">
        <f>ROUND(187.72*(1+AD6)*(1+AD5)+AD7,2)</f>
        <v>0</v>
      </c>
      <c r="BE57" t="str">
        <f>ROUND(193.86*(1+AD6)*(1+AD5)+AD7,2)</f>
        <v>0</v>
      </c>
      <c r="BF57" t="str">
        <f>ROUND(200.13*(1+AD6)*(1+AD5)+AD7,2)</f>
        <v>0</v>
      </c>
    </row>
    <row r="58" spans="1:58">
      <c r="A58" s="8"/>
      <c r="B58" s="10"/>
      <c r="C58" s="14">
        <v>1100</v>
      </c>
      <c r="D58" s="8">
        <v>55.05</v>
      </c>
      <c r="E58" s="8">
        <v>61.22</v>
      </c>
      <c r="F58" s="8">
        <v>67.39</v>
      </c>
      <c r="G58" s="8">
        <v>73.65</v>
      </c>
      <c r="H58" s="8">
        <v>80.47</v>
      </c>
      <c r="I58" s="8">
        <v>87.35</v>
      </c>
      <c r="J58" s="8">
        <v>94.23</v>
      </c>
      <c r="K58" s="8">
        <v>100.66</v>
      </c>
      <c r="L58" s="8">
        <v>107.75</v>
      </c>
      <c r="M58" s="8">
        <v>114.13</v>
      </c>
      <c r="N58" s="8">
        <v>120.5</v>
      </c>
      <c r="O58" s="8">
        <v>126.87</v>
      </c>
      <c r="P58" s="8">
        <v>133.67</v>
      </c>
      <c r="Q58" s="8">
        <v>141.3</v>
      </c>
      <c r="R58" s="8">
        <v>147.46</v>
      </c>
      <c r="S58" s="8">
        <v>153.97</v>
      </c>
      <c r="T58" s="8">
        <v>160.23</v>
      </c>
      <c r="U58" s="8">
        <v>166.67</v>
      </c>
      <c r="V58" s="8">
        <v>174.77</v>
      </c>
      <c r="W58" s="8">
        <v>183.26</v>
      </c>
      <c r="X58" s="8">
        <v>191.07</v>
      </c>
      <c r="Y58" s="8">
        <v>197.33</v>
      </c>
      <c r="Z58" s="8">
        <v>203.7</v>
      </c>
      <c r="AA58" s="8"/>
      <c r="AB58" s="8"/>
      <c r="AC58" s="8"/>
      <c r="AD58" s="8"/>
      <c r="AE58" s="8"/>
      <c r="AF58" s="8"/>
      <c r="AG58" s="9"/>
      <c r="AH58" s="10"/>
      <c r="AI58" s="14">
        <v>1100</v>
      </c>
      <c r="AJ58" s="8" t="str">
        <f>ROUND(55.05*(1+AD6)*(1+AD5)+AD7,2)</f>
        <v>0</v>
      </c>
      <c r="AK58" s="8" t="str">
        <f>ROUND(61.22*(1+AD6)*(1+AD5)+AD7,2)</f>
        <v>0</v>
      </c>
      <c r="AL58" s="8" t="str">
        <f>ROUND(67.39*(1+AD6)*(1+AD5)+AD7,2)</f>
        <v>0</v>
      </c>
      <c r="AM58" s="8" t="str">
        <f>ROUND(73.65*(1+AD6)*(1+AD5)+AD7,2)</f>
        <v>0</v>
      </c>
      <c r="AN58" s="8" t="str">
        <f>ROUND(80.47*(1+AD6)*(1+AD5)+AD7,2)</f>
        <v>0</v>
      </c>
      <c r="AO58" s="8" t="str">
        <f>ROUND(87.35*(1+AD6)*(1+AD5)+AD7,2)</f>
        <v>0</v>
      </c>
      <c r="AP58" s="8" t="str">
        <f>ROUND(94.23*(1+AD6)*(1+AD5)+AD7,2)</f>
        <v>0</v>
      </c>
      <c r="AQ58" s="8" t="str">
        <f>ROUND(100.66*(1+AD6)*(1+AD5)+AD7,2)</f>
        <v>0</v>
      </c>
      <c r="AR58" s="8" t="str">
        <f>ROUND(107.75*(1+AD6)*(1+AD5)+AD7,2)</f>
        <v>0</v>
      </c>
      <c r="AS58" s="8" t="str">
        <f>ROUND(114.13*(1+AD6)*(1+AD5)+AD7,2)</f>
        <v>0</v>
      </c>
      <c r="AT58" s="8" t="str">
        <f>ROUND(120.5*(1+AD6)*(1+AD5)+AD7,2)</f>
        <v>0</v>
      </c>
      <c r="AU58" s="8" t="str">
        <f>ROUND(126.87*(1+AD6)*(1+AD5)+AD7,2)</f>
        <v>0</v>
      </c>
      <c r="AV58" s="8" t="str">
        <f>ROUND(133.67*(1+AD6)*(1+AD5)+AD7,2)</f>
        <v>0</v>
      </c>
      <c r="AW58" s="8" t="str">
        <f>ROUND(141.3*(1+AD6)*(1+AD5)+AD7,2)</f>
        <v>0</v>
      </c>
      <c r="AX58" s="8" t="str">
        <f>ROUND(147.46*(1+AD6)*(1+AD5)+AD7,2)</f>
        <v>0</v>
      </c>
      <c r="AY58" s="8" t="str">
        <f>ROUND(153.97*(1+AD6)*(1+AD5)+AD7,2)</f>
        <v>0</v>
      </c>
      <c r="AZ58" s="8" t="str">
        <f>ROUND(160.23*(1+AD6)*(1+AD5)+AD7,2)</f>
        <v>0</v>
      </c>
      <c r="BA58" s="8" t="str">
        <f>ROUND(166.67*(1+AD6)*(1+AD5)+AD7,2)</f>
        <v>0</v>
      </c>
      <c r="BB58" s="8" t="str">
        <f>ROUND(174.77*(1+AD6)*(1+AD5)+AD7,2)</f>
        <v>0</v>
      </c>
      <c r="BC58" s="8" t="str">
        <f>ROUND(183.26*(1+AD6)*(1+AD5)+AD7,2)</f>
        <v>0</v>
      </c>
      <c r="BD58" s="8" t="str">
        <f>ROUND(191.07*(1+AD6)*(1+AD5)+AD7,2)</f>
        <v>0</v>
      </c>
      <c r="BE58" t="str">
        <f>ROUND(197.33*(1+AD6)*(1+AD5)+AD7,2)</f>
        <v>0</v>
      </c>
      <c r="BF58" t="str">
        <f>ROUND(203.7*(1+AD6)*(1+AD5)+AD7,2)</f>
        <v>0</v>
      </c>
    </row>
    <row r="59" spans="1:58">
      <c r="A59" s="8"/>
      <c r="B59" s="10"/>
      <c r="C59" s="14">
        <v>1200</v>
      </c>
      <c r="D59" s="8">
        <v>55.56</v>
      </c>
      <c r="E59" s="8">
        <v>61.88</v>
      </c>
      <c r="F59" s="8">
        <v>68.19</v>
      </c>
      <c r="G59" s="8">
        <v>74.56</v>
      </c>
      <c r="H59" s="8">
        <v>81.53</v>
      </c>
      <c r="I59" s="8">
        <v>88.54</v>
      </c>
      <c r="J59" s="8">
        <v>95.6</v>
      </c>
      <c r="K59" s="8">
        <v>102.16</v>
      </c>
      <c r="L59" s="8">
        <v>109.41</v>
      </c>
      <c r="M59" s="8">
        <v>115.91</v>
      </c>
      <c r="N59" s="8">
        <v>124.56</v>
      </c>
      <c r="O59" s="8">
        <v>128.91</v>
      </c>
      <c r="P59" s="8">
        <v>135.84</v>
      </c>
      <c r="Q59" s="8">
        <v>143.62</v>
      </c>
      <c r="R59" s="8">
        <v>149.95</v>
      </c>
      <c r="S59" s="8">
        <v>156.62</v>
      </c>
      <c r="T59" s="8">
        <v>162.98</v>
      </c>
      <c r="U59" s="8">
        <v>169.58</v>
      </c>
      <c r="V59" s="8">
        <v>177.81</v>
      </c>
      <c r="W59" s="8">
        <v>186.43</v>
      </c>
      <c r="X59" s="8">
        <v>194.4</v>
      </c>
      <c r="Y59" s="8">
        <v>200.82</v>
      </c>
      <c r="Z59" s="8">
        <v>207.28</v>
      </c>
      <c r="AA59" s="8"/>
      <c r="AB59" s="8"/>
      <c r="AC59" s="8"/>
      <c r="AD59" s="8"/>
      <c r="AE59" s="8"/>
      <c r="AF59" s="8"/>
      <c r="AG59" s="9"/>
      <c r="AH59" s="10"/>
      <c r="AI59" s="14">
        <v>1200</v>
      </c>
      <c r="AJ59" s="8" t="str">
        <f>ROUND(55.56*(1+AD6)*(1+AD5)+AD7,2)</f>
        <v>0</v>
      </c>
      <c r="AK59" s="8" t="str">
        <f>ROUND(61.88*(1+AD6)*(1+AD5)+AD7,2)</f>
        <v>0</v>
      </c>
      <c r="AL59" s="8" t="str">
        <f>ROUND(68.19*(1+AD6)*(1+AD5)+AD7,2)</f>
        <v>0</v>
      </c>
      <c r="AM59" s="8" t="str">
        <f>ROUND(74.56*(1+AD6)*(1+AD5)+AD7,2)</f>
        <v>0</v>
      </c>
      <c r="AN59" s="8" t="str">
        <f>ROUND(81.53*(1+AD6)*(1+AD5)+AD7,2)</f>
        <v>0</v>
      </c>
      <c r="AO59" s="8" t="str">
        <f>ROUND(88.54*(1+AD6)*(1+AD5)+AD7,2)</f>
        <v>0</v>
      </c>
      <c r="AP59" s="8" t="str">
        <f>ROUND(95.6*(1+AD6)*(1+AD5)+AD7,2)</f>
        <v>0</v>
      </c>
      <c r="AQ59" s="8" t="str">
        <f>ROUND(102.16*(1+AD6)*(1+AD5)+AD7,2)</f>
        <v>0</v>
      </c>
      <c r="AR59" s="8" t="str">
        <f>ROUND(109.41*(1+AD6)*(1+AD5)+AD7,2)</f>
        <v>0</v>
      </c>
      <c r="AS59" s="8" t="str">
        <f>ROUND(115.91*(1+AD6)*(1+AD5)+AD7,2)</f>
        <v>0</v>
      </c>
      <c r="AT59" s="8" t="str">
        <f>ROUND(124.56*(1+AD6)*(1+AD5)+AD7,2)</f>
        <v>0</v>
      </c>
      <c r="AU59" s="8" t="str">
        <f>ROUND(128.91*(1+AD6)*(1+AD5)+AD7,2)</f>
        <v>0</v>
      </c>
      <c r="AV59" s="8" t="str">
        <f>ROUND(135.84*(1+AD6)*(1+AD5)+AD7,2)</f>
        <v>0</v>
      </c>
      <c r="AW59" s="8" t="str">
        <f>ROUND(143.62*(1+AD6)*(1+AD5)+AD7,2)</f>
        <v>0</v>
      </c>
      <c r="AX59" s="8" t="str">
        <f>ROUND(149.95*(1+AD6)*(1+AD5)+AD7,2)</f>
        <v>0</v>
      </c>
      <c r="AY59" s="8" t="str">
        <f>ROUND(156.62*(1+AD6)*(1+AD5)+AD7,2)</f>
        <v>0</v>
      </c>
      <c r="AZ59" s="8" t="str">
        <f>ROUND(162.98*(1+AD6)*(1+AD5)+AD7,2)</f>
        <v>0</v>
      </c>
      <c r="BA59" s="8" t="str">
        <f>ROUND(169.58*(1+AD6)*(1+AD5)+AD7,2)</f>
        <v>0</v>
      </c>
      <c r="BB59" s="8" t="str">
        <f>ROUND(177.81*(1+AD6)*(1+AD5)+AD7,2)</f>
        <v>0</v>
      </c>
      <c r="BC59" s="8" t="str">
        <f>ROUND(186.43*(1+AD6)*(1+AD5)+AD7,2)</f>
        <v>0</v>
      </c>
      <c r="BD59" s="8" t="str">
        <f>ROUND(194.4*(1+AD6)*(1+AD5)+AD7,2)</f>
        <v>0</v>
      </c>
      <c r="BE59" t="str">
        <f>ROUND(200.82*(1+AD6)*(1+AD5)+AD7,2)</f>
        <v>0</v>
      </c>
      <c r="BF59" t="str">
        <f>ROUND(207.28*(1+AD6)*(1+AD5)+AD7,2)</f>
        <v>0</v>
      </c>
    </row>
    <row r="60" spans="1:58">
      <c r="A60" s="8"/>
      <c r="B60" s="10"/>
      <c r="C60" s="14">
        <v>1300</v>
      </c>
      <c r="D60" s="8">
        <v>56.04</v>
      </c>
      <c r="E60" s="8">
        <v>62.5</v>
      </c>
      <c r="F60" s="8">
        <v>68.97</v>
      </c>
      <c r="G60" s="8">
        <v>75.5</v>
      </c>
      <c r="H60" s="8">
        <v>82.61</v>
      </c>
      <c r="I60" s="8">
        <v>89.6</v>
      </c>
      <c r="J60" s="8">
        <v>96.93</v>
      </c>
      <c r="K60" s="8">
        <v>103.66</v>
      </c>
      <c r="L60" s="8">
        <v>111.05</v>
      </c>
      <c r="M60" s="8">
        <v>117.66</v>
      </c>
      <c r="N60" s="8">
        <v>124.35</v>
      </c>
      <c r="O60" s="8">
        <v>130.96</v>
      </c>
      <c r="P60" s="8">
        <v>138.05</v>
      </c>
      <c r="Q60" s="8">
        <v>145.98</v>
      </c>
      <c r="R60" s="8">
        <v>152.44</v>
      </c>
      <c r="S60" s="8">
        <v>159.22</v>
      </c>
      <c r="T60" s="8">
        <v>165.77</v>
      </c>
      <c r="U60" s="8">
        <v>172.46</v>
      </c>
      <c r="V60" s="8">
        <v>180.86</v>
      </c>
      <c r="W60" s="8">
        <v>189.64</v>
      </c>
      <c r="X60" s="8">
        <v>197.76</v>
      </c>
      <c r="Y60" s="8">
        <v>204.3</v>
      </c>
      <c r="Z60" s="8">
        <v>210.87</v>
      </c>
      <c r="AA60" s="8"/>
      <c r="AB60" s="8"/>
      <c r="AC60" s="8"/>
      <c r="AD60" s="8"/>
      <c r="AE60" s="8"/>
      <c r="AF60" s="8"/>
      <c r="AG60" s="9"/>
      <c r="AH60" s="10"/>
      <c r="AI60" s="14">
        <v>1300</v>
      </c>
      <c r="AJ60" s="8" t="str">
        <f>ROUND(56.04*(1+AD6)*(1+AD5)+AD7,2)</f>
        <v>0</v>
      </c>
      <c r="AK60" s="8" t="str">
        <f>ROUND(62.5*(1+AD6)*(1+AD5)+AD7,2)</f>
        <v>0</v>
      </c>
      <c r="AL60" s="8" t="str">
        <f>ROUND(68.97*(1+AD6)*(1+AD5)+AD7,2)</f>
        <v>0</v>
      </c>
      <c r="AM60" s="8" t="str">
        <f>ROUND(75.5*(1+AD6)*(1+AD5)+AD7,2)</f>
        <v>0</v>
      </c>
      <c r="AN60" s="8" t="str">
        <f>ROUND(82.61*(1+AD6)*(1+AD5)+AD7,2)</f>
        <v>0</v>
      </c>
      <c r="AO60" s="8" t="str">
        <f>ROUND(89.6*(1+AD6)*(1+AD5)+AD7,2)</f>
        <v>0</v>
      </c>
      <c r="AP60" s="8" t="str">
        <f>ROUND(96.93*(1+AD6)*(1+AD5)+AD7,2)</f>
        <v>0</v>
      </c>
      <c r="AQ60" s="8" t="str">
        <f>ROUND(103.66*(1+AD6)*(1+AD5)+AD7,2)</f>
        <v>0</v>
      </c>
      <c r="AR60" s="8" t="str">
        <f>ROUND(111.05*(1+AD6)*(1+AD5)+AD7,2)</f>
        <v>0</v>
      </c>
      <c r="AS60" s="8" t="str">
        <f>ROUND(117.66*(1+AD6)*(1+AD5)+AD7,2)</f>
        <v>0</v>
      </c>
      <c r="AT60" s="8" t="str">
        <f>ROUND(124.35*(1+AD6)*(1+AD5)+AD7,2)</f>
        <v>0</v>
      </c>
      <c r="AU60" s="8" t="str">
        <f>ROUND(130.96*(1+AD6)*(1+AD5)+AD7,2)</f>
        <v>0</v>
      </c>
      <c r="AV60" s="8" t="str">
        <f>ROUND(138.05*(1+AD6)*(1+AD5)+AD7,2)</f>
        <v>0</v>
      </c>
      <c r="AW60" s="8" t="str">
        <f>ROUND(145.98*(1+AD6)*(1+AD5)+AD7,2)</f>
        <v>0</v>
      </c>
      <c r="AX60" s="8" t="str">
        <f>ROUND(152.44*(1+AD6)*(1+AD5)+AD7,2)</f>
        <v>0</v>
      </c>
      <c r="AY60" s="8" t="str">
        <f>ROUND(159.22*(1+AD6)*(1+AD5)+AD7,2)</f>
        <v>0</v>
      </c>
      <c r="AZ60" s="8" t="str">
        <f>ROUND(165.77*(1+AD6)*(1+AD5)+AD7,2)</f>
        <v>0</v>
      </c>
      <c r="BA60" s="8" t="str">
        <f>ROUND(172.46*(1+AD6)*(1+AD5)+AD7,2)</f>
        <v>0</v>
      </c>
      <c r="BB60" s="8" t="str">
        <f>ROUND(180.86*(1+AD6)*(1+AD5)+AD7,2)</f>
        <v>0</v>
      </c>
      <c r="BC60" s="8" t="str">
        <f>ROUND(189.64*(1+AD6)*(1+AD5)+AD7,2)</f>
        <v>0</v>
      </c>
      <c r="BD60" s="8" t="str">
        <f>ROUND(197.76*(1+AD6)*(1+AD5)+AD7,2)</f>
        <v>0</v>
      </c>
      <c r="BE60" t="str">
        <f>ROUND(204.3*(1+AD6)*(1+AD5)+AD7,2)</f>
        <v>0</v>
      </c>
      <c r="BF60" t="str">
        <f>ROUND(210.87*(1+AD6)*(1+AD5)+AD7,2)</f>
        <v>0</v>
      </c>
    </row>
    <row r="61" spans="1:58">
      <c r="A61" s="8"/>
      <c r="B61" s="10"/>
      <c r="C61" s="14">
        <v>1400</v>
      </c>
      <c r="D61" s="8">
        <v>56.54</v>
      </c>
      <c r="E61" s="8">
        <v>63.17</v>
      </c>
      <c r="F61" s="8">
        <v>69.76</v>
      </c>
      <c r="G61" s="8">
        <v>76.41</v>
      </c>
      <c r="H61" s="8">
        <v>83.68</v>
      </c>
      <c r="I61" s="8">
        <v>90.97</v>
      </c>
      <c r="J61" s="8">
        <v>98.3</v>
      </c>
      <c r="K61" s="8">
        <v>105.15</v>
      </c>
      <c r="L61" s="8">
        <v>112.65</v>
      </c>
      <c r="M61" s="8">
        <v>119.44</v>
      </c>
      <c r="N61" s="8">
        <v>126.26</v>
      </c>
      <c r="O61" s="8">
        <v>133.02</v>
      </c>
      <c r="P61" s="8">
        <v>140.26</v>
      </c>
      <c r="Q61" s="8">
        <v>148.3</v>
      </c>
      <c r="R61" s="8">
        <v>154.9</v>
      </c>
      <c r="S61" s="8">
        <v>161.8</v>
      </c>
      <c r="T61" s="8">
        <v>168.51</v>
      </c>
      <c r="U61" s="8">
        <v>175.38</v>
      </c>
      <c r="V61" s="8">
        <v>183.9</v>
      </c>
      <c r="W61" s="8">
        <v>192.8</v>
      </c>
      <c r="X61" s="8">
        <v>201.08</v>
      </c>
      <c r="Y61" s="8">
        <v>207.77</v>
      </c>
      <c r="Z61" s="8">
        <v>214.44</v>
      </c>
      <c r="AA61" s="8"/>
      <c r="AB61" s="8"/>
      <c r="AC61" s="8"/>
      <c r="AD61" s="8"/>
      <c r="AE61" s="8"/>
      <c r="AF61" s="8"/>
      <c r="AG61" s="9"/>
      <c r="AH61" s="10"/>
      <c r="AI61" s="14">
        <v>1400</v>
      </c>
      <c r="AJ61" s="8" t="str">
        <f>ROUND(56.54*(1+AD6)*(1+AD5)+AD7,2)</f>
        <v>0</v>
      </c>
      <c r="AK61" s="8" t="str">
        <f>ROUND(63.17*(1+AD6)*(1+AD5)+AD7,2)</f>
        <v>0</v>
      </c>
      <c r="AL61" s="8" t="str">
        <f>ROUND(69.76*(1+AD6)*(1+AD5)+AD7,2)</f>
        <v>0</v>
      </c>
      <c r="AM61" s="8" t="str">
        <f>ROUND(76.41*(1+AD6)*(1+AD5)+AD7,2)</f>
        <v>0</v>
      </c>
      <c r="AN61" s="8" t="str">
        <f>ROUND(83.68*(1+AD6)*(1+AD5)+AD7,2)</f>
        <v>0</v>
      </c>
      <c r="AO61" s="8" t="str">
        <f>ROUND(90.97*(1+AD6)*(1+AD5)+AD7,2)</f>
        <v>0</v>
      </c>
      <c r="AP61" s="8" t="str">
        <f>ROUND(98.3*(1+AD6)*(1+AD5)+AD7,2)</f>
        <v>0</v>
      </c>
      <c r="AQ61" s="8" t="str">
        <f>ROUND(105.15*(1+AD6)*(1+AD5)+AD7,2)</f>
        <v>0</v>
      </c>
      <c r="AR61" s="8" t="str">
        <f>ROUND(112.65*(1+AD6)*(1+AD5)+AD7,2)</f>
        <v>0</v>
      </c>
      <c r="AS61" s="8" t="str">
        <f>ROUND(119.44*(1+AD6)*(1+AD5)+AD7,2)</f>
        <v>0</v>
      </c>
      <c r="AT61" s="8" t="str">
        <f>ROUND(126.26*(1+AD6)*(1+AD5)+AD7,2)</f>
        <v>0</v>
      </c>
      <c r="AU61" s="8" t="str">
        <f>ROUND(133.02*(1+AD6)*(1+AD5)+AD7,2)</f>
        <v>0</v>
      </c>
      <c r="AV61" s="8" t="str">
        <f>ROUND(140.26*(1+AD6)*(1+AD5)+AD7,2)</f>
        <v>0</v>
      </c>
      <c r="AW61" s="8" t="str">
        <f>ROUND(148.3*(1+AD6)*(1+AD5)+AD7,2)</f>
        <v>0</v>
      </c>
      <c r="AX61" s="8" t="str">
        <f>ROUND(154.9*(1+AD6)*(1+AD5)+AD7,2)</f>
        <v>0</v>
      </c>
      <c r="AY61" s="8" t="str">
        <f>ROUND(161.8*(1+AD6)*(1+AD5)+AD7,2)</f>
        <v>0</v>
      </c>
      <c r="AZ61" s="8" t="str">
        <f>ROUND(168.51*(1+AD6)*(1+AD5)+AD7,2)</f>
        <v>0</v>
      </c>
      <c r="BA61" s="8" t="str">
        <f>ROUND(175.38*(1+AD6)*(1+AD5)+AD7,2)</f>
        <v>0</v>
      </c>
      <c r="BB61" s="8" t="str">
        <f>ROUND(183.9*(1+AD6)*(1+AD5)+AD7,2)</f>
        <v>0</v>
      </c>
      <c r="BC61" s="8" t="str">
        <f>ROUND(192.8*(1+AD6)*(1+AD5)+AD7,2)</f>
        <v>0</v>
      </c>
      <c r="BD61" s="8" t="str">
        <f>ROUND(201.08*(1+AD6)*(1+AD5)+AD7,2)</f>
        <v>0</v>
      </c>
      <c r="BE61" t="str">
        <f>ROUND(207.77*(1+AD6)*(1+AD5)+AD7,2)</f>
        <v>0</v>
      </c>
      <c r="BF61" t="str">
        <f>ROUND(214.44*(1+AD6)*(1+AD5)+AD7,2)</f>
        <v>0</v>
      </c>
    </row>
    <row r="62" spans="1:58">
      <c r="A62" s="8"/>
      <c r="B62" s="10"/>
      <c r="C62" s="14">
        <v>1500</v>
      </c>
      <c r="D62" s="8">
        <v>57.04</v>
      </c>
      <c r="E62" s="8">
        <v>63.8</v>
      </c>
      <c r="F62" s="8">
        <v>70.55</v>
      </c>
      <c r="G62" s="8">
        <v>77.34</v>
      </c>
      <c r="H62" s="8">
        <v>84.73</v>
      </c>
      <c r="I62" s="8">
        <v>92.18</v>
      </c>
      <c r="J62" s="8">
        <v>99.64</v>
      </c>
      <c r="K62" s="8">
        <v>106.65</v>
      </c>
      <c r="L62" s="8">
        <v>114.27</v>
      </c>
      <c r="M62" s="8">
        <v>121.24</v>
      </c>
      <c r="N62" s="8">
        <v>128.17</v>
      </c>
      <c r="O62" s="8">
        <v>135.06</v>
      </c>
      <c r="P62" s="8">
        <v>142.46</v>
      </c>
      <c r="Q62" s="8">
        <v>150.63</v>
      </c>
      <c r="R62" s="8">
        <v>157.4</v>
      </c>
      <c r="S62" s="8">
        <v>164.48</v>
      </c>
      <c r="T62" s="8">
        <v>171.3</v>
      </c>
      <c r="U62" s="8">
        <v>178.28</v>
      </c>
      <c r="V62" s="8">
        <v>186.98</v>
      </c>
      <c r="W62" s="8">
        <v>196.01</v>
      </c>
      <c r="X62" s="8">
        <v>204.43</v>
      </c>
      <c r="Y62" s="8">
        <v>211.25</v>
      </c>
      <c r="Z62" s="8">
        <v>218.03</v>
      </c>
      <c r="AA62" s="8"/>
      <c r="AB62" s="8"/>
      <c r="AC62" s="8"/>
      <c r="AD62" s="8"/>
      <c r="AE62" s="8"/>
      <c r="AF62" s="8"/>
      <c r="AG62" s="9"/>
      <c r="AH62" s="10"/>
      <c r="AI62" s="14">
        <v>1500</v>
      </c>
      <c r="AJ62" s="8" t="str">
        <f>ROUND(57.04*(1+AD6)*(1+AD5)+AD7,2)</f>
        <v>0</v>
      </c>
      <c r="AK62" s="8" t="str">
        <f>ROUND(63.8*(1+AD6)*(1+AD5)+AD7,2)</f>
        <v>0</v>
      </c>
      <c r="AL62" s="8" t="str">
        <f>ROUND(70.55*(1+AD6)*(1+AD5)+AD7,2)</f>
        <v>0</v>
      </c>
      <c r="AM62" s="8" t="str">
        <f>ROUND(77.34*(1+AD6)*(1+AD5)+AD7,2)</f>
        <v>0</v>
      </c>
      <c r="AN62" s="8" t="str">
        <f>ROUND(84.73*(1+AD6)*(1+AD5)+AD7,2)</f>
        <v>0</v>
      </c>
      <c r="AO62" s="8" t="str">
        <f>ROUND(92.18*(1+AD6)*(1+AD5)+AD7,2)</f>
        <v>0</v>
      </c>
      <c r="AP62" s="8" t="str">
        <f>ROUND(99.64*(1+AD6)*(1+AD5)+AD7,2)</f>
        <v>0</v>
      </c>
      <c r="AQ62" s="8" t="str">
        <f>ROUND(106.65*(1+AD6)*(1+AD5)+AD7,2)</f>
        <v>0</v>
      </c>
      <c r="AR62" s="8" t="str">
        <f>ROUND(114.27*(1+AD6)*(1+AD5)+AD7,2)</f>
        <v>0</v>
      </c>
      <c r="AS62" s="8" t="str">
        <f>ROUND(121.24*(1+AD6)*(1+AD5)+AD7,2)</f>
        <v>0</v>
      </c>
      <c r="AT62" s="8" t="str">
        <f>ROUND(128.17*(1+AD6)*(1+AD5)+AD7,2)</f>
        <v>0</v>
      </c>
      <c r="AU62" s="8" t="str">
        <f>ROUND(135.06*(1+AD6)*(1+AD5)+AD7,2)</f>
        <v>0</v>
      </c>
      <c r="AV62" s="8" t="str">
        <f>ROUND(142.46*(1+AD6)*(1+AD5)+AD7,2)</f>
        <v>0</v>
      </c>
      <c r="AW62" s="8" t="str">
        <f>ROUND(150.63*(1+AD6)*(1+AD5)+AD7,2)</f>
        <v>0</v>
      </c>
      <c r="AX62" s="8" t="str">
        <f>ROUND(157.4*(1+AD6)*(1+AD5)+AD7,2)</f>
        <v>0</v>
      </c>
      <c r="AY62" s="8" t="str">
        <f>ROUND(164.48*(1+AD6)*(1+AD5)+AD7,2)</f>
        <v>0</v>
      </c>
      <c r="AZ62" s="8" t="str">
        <f>ROUND(171.3*(1+AD6)*(1+AD5)+AD7,2)</f>
        <v>0</v>
      </c>
      <c r="BA62" s="8" t="str">
        <f>ROUND(178.28*(1+AD6)*(1+AD5)+AD7,2)</f>
        <v>0</v>
      </c>
      <c r="BB62" s="8" t="str">
        <f>ROUND(186.98*(1+AD6)*(1+AD5)+AD7,2)</f>
        <v>0</v>
      </c>
      <c r="BC62" s="8" t="str">
        <f>ROUND(196.01*(1+AD6)*(1+AD5)+AD7,2)</f>
        <v>0</v>
      </c>
      <c r="BD62" s="8" t="str">
        <f>ROUND(204.43*(1+AD6)*(1+AD5)+AD7,2)</f>
        <v>0</v>
      </c>
      <c r="BE62" t="str">
        <f>ROUND(211.25*(1+AD6)*(1+AD5)+AD7,2)</f>
        <v>0</v>
      </c>
      <c r="BF62" t="str">
        <f>ROUND(218.03*(1+AD6)*(1+AD5)+AD7,2)</f>
        <v>0</v>
      </c>
    </row>
    <row r="63" spans="1:58">
      <c r="A63" s="8"/>
      <c r="B63" s="10"/>
      <c r="C63" s="14">
        <v>1600</v>
      </c>
      <c r="D63" s="8">
        <v>57.55</v>
      </c>
      <c r="E63" s="8">
        <v>64.45</v>
      </c>
      <c r="F63" s="8">
        <v>71.31</v>
      </c>
      <c r="G63" s="8">
        <v>78.24</v>
      </c>
      <c r="H63" s="8">
        <v>85.81</v>
      </c>
      <c r="I63" s="8">
        <v>93.39</v>
      </c>
      <c r="J63" s="8">
        <v>101</v>
      </c>
      <c r="K63" s="8">
        <v>108.12</v>
      </c>
      <c r="L63" s="8">
        <v>115.9</v>
      </c>
      <c r="M63" s="8">
        <v>122.98</v>
      </c>
      <c r="N63" s="8">
        <v>130.1</v>
      </c>
      <c r="O63" s="8">
        <v>137.15</v>
      </c>
      <c r="P63" s="8">
        <v>144.67</v>
      </c>
      <c r="Q63" s="8">
        <v>152.98</v>
      </c>
      <c r="R63" s="8">
        <v>159.87</v>
      </c>
      <c r="S63" s="8">
        <v>167.1</v>
      </c>
      <c r="T63" s="8">
        <v>174.07</v>
      </c>
      <c r="U63" s="8">
        <v>181.21</v>
      </c>
      <c r="V63" s="8">
        <v>190.02</v>
      </c>
      <c r="W63" s="8">
        <v>199.21</v>
      </c>
      <c r="X63" s="8">
        <v>207.77</v>
      </c>
      <c r="Y63" s="8">
        <v>214.72</v>
      </c>
      <c r="Z63" s="8">
        <v>221.59</v>
      </c>
      <c r="AA63" s="8"/>
      <c r="AB63" s="8"/>
      <c r="AC63" s="8"/>
      <c r="AD63" s="8"/>
      <c r="AE63" s="8"/>
      <c r="AF63" s="8"/>
      <c r="AG63" s="9"/>
      <c r="AH63" s="10"/>
      <c r="AI63" s="14">
        <v>1600</v>
      </c>
      <c r="AJ63" s="8" t="str">
        <f>ROUND(57.55*(1+AD6)*(1+AD5)+AD7,2)</f>
        <v>0</v>
      </c>
      <c r="AK63" s="8" t="str">
        <f>ROUND(64.45*(1+AD6)*(1+AD5)+AD7,2)</f>
        <v>0</v>
      </c>
      <c r="AL63" s="8" t="str">
        <f>ROUND(71.31*(1+AD6)*(1+AD5)+AD7,2)</f>
        <v>0</v>
      </c>
      <c r="AM63" s="8" t="str">
        <f>ROUND(78.24*(1+AD6)*(1+AD5)+AD7,2)</f>
        <v>0</v>
      </c>
      <c r="AN63" s="8" t="str">
        <f>ROUND(85.81*(1+AD6)*(1+AD5)+AD7,2)</f>
        <v>0</v>
      </c>
      <c r="AO63" s="8" t="str">
        <f>ROUND(93.39*(1+AD6)*(1+AD5)+AD7,2)</f>
        <v>0</v>
      </c>
      <c r="AP63" s="8" t="str">
        <f>ROUND(101*(1+AD6)*(1+AD5)+AD7,2)</f>
        <v>0</v>
      </c>
      <c r="AQ63" s="8" t="str">
        <f>ROUND(108.12*(1+AD6)*(1+AD5)+AD7,2)</f>
        <v>0</v>
      </c>
      <c r="AR63" s="8" t="str">
        <f>ROUND(115.9*(1+AD6)*(1+AD5)+AD7,2)</f>
        <v>0</v>
      </c>
      <c r="AS63" s="8" t="str">
        <f>ROUND(122.98*(1+AD6)*(1+AD5)+AD7,2)</f>
        <v>0</v>
      </c>
      <c r="AT63" s="8" t="str">
        <f>ROUND(130.1*(1+AD6)*(1+AD5)+AD7,2)</f>
        <v>0</v>
      </c>
      <c r="AU63" s="8" t="str">
        <f>ROUND(137.15*(1+AD6)*(1+AD5)+AD7,2)</f>
        <v>0</v>
      </c>
      <c r="AV63" s="8" t="str">
        <f>ROUND(144.67*(1+AD6)*(1+AD5)+AD7,2)</f>
        <v>0</v>
      </c>
      <c r="AW63" s="8" t="str">
        <f>ROUND(152.98*(1+AD6)*(1+AD5)+AD7,2)</f>
        <v>0</v>
      </c>
      <c r="AX63" s="8" t="str">
        <f>ROUND(159.87*(1+AD6)*(1+AD5)+AD7,2)</f>
        <v>0</v>
      </c>
      <c r="AY63" s="8" t="str">
        <f>ROUND(167.1*(1+AD6)*(1+AD5)+AD7,2)</f>
        <v>0</v>
      </c>
      <c r="AZ63" s="8" t="str">
        <f>ROUND(174.07*(1+AD6)*(1+AD5)+AD7,2)</f>
        <v>0</v>
      </c>
      <c r="BA63" s="8" t="str">
        <f>ROUND(181.21*(1+AD6)*(1+AD5)+AD7,2)</f>
        <v>0</v>
      </c>
      <c r="BB63" s="8" t="str">
        <f>ROUND(190.02*(1+AD6)*(1+AD5)+AD7,2)</f>
        <v>0</v>
      </c>
      <c r="BC63" s="8" t="str">
        <f>ROUND(199.21*(1+AD6)*(1+AD5)+AD7,2)</f>
        <v>0</v>
      </c>
      <c r="BD63" s="8" t="str">
        <f>ROUND(207.77*(1+AD6)*(1+AD5)+AD7,2)</f>
        <v>0</v>
      </c>
      <c r="BE63" t="str">
        <f>ROUND(214.72*(1+AD6)*(1+AD5)+AD7,2)</f>
        <v>0</v>
      </c>
      <c r="BF63" t="str">
        <f>ROUND(221.59*(1+AD6)*(1+AD5)+AD7,2)</f>
        <v>0</v>
      </c>
    </row>
    <row r="64" spans="1:58">
      <c r="A64" s="8"/>
      <c r="B64" s="10"/>
      <c r="C64" s="14">
        <v>1700</v>
      </c>
      <c r="D64" s="8">
        <v>58.03</v>
      </c>
      <c r="E64" s="8">
        <v>65.08</v>
      </c>
      <c r="F64" s="8">
        <v>72.1</v>
      </c>
      <c r="G64" s="8">
        <v>79.18</v>
      </c>
      <c r="H64" s="8">
        <v>86.89</v>
      </c>
      <c r="I64" s="8">
        <v>94.59</v>
      </c>
      <c r="J64" s="8">
        <v>102.33</v>
      </c>
      <c r="K64" s="8">
        <v>109.6</v>
      </c>
      <c r="L64" s="8">
        <v>117.57</v>
      </c>
      <c r="M64" s="8">
        <v>124.79</v>
      </c>
      <c r="N64" s="8">
        <v>132</v>
      </c>
      <c r="O64" s="8">
        <v>139.19</v>
      </c>
      <c r="P64" s="8">
        <v>146.89</v>
      </c>
      <c r="Q64" s="8">
        <v>155.32</v>
      </c>
      <c r="R64" s="8">
        <v>162.35</v>
      </c>
      <c r="S64" s="8">
        <v>169.72</v>
      </c>
      <c r="T64" s="8">
        <v>176.85</v>
      </c>
      <c r="U64" s="8">
        <v>184.11</v>
      </c>
      <c r="V64" s="8">
        <v>193.06</v>
      </c>
      <c r="W64" s="8">
        <v>202.39</v>
      </c>
      <c r="X64" s="8">
        <v>211.09</v>
      </c>
      <c r="Y64" s="8">
        <v>218.19</v>
      </c>
      <c r="Z64" s="8">
        <v>225.19</v>
      </c>
      <c r="AA64" s="8"/>
      <c r="AB64" s="8"/>
      <c r="AC64" s="8"/>
      <c r="AD64" s="8"/>
      <c r="AE64" s="8"/>
      <c r="AF64" s="8"/>
      <c r="AG64" s="9"/>
      <c r="AH64" s="10"/>
      <c r="AI64" s="14">
        <v>1700</v>
      </c>
      <c r="AJ64" s="8" t="str">
        <f>ROUND(58.03*(1+AD6)*(1+AD5)+AD7,2)</f>
        <v>0</v>
      </c>
      <c r="AK64" s="8" t="str">
        <f>ROUND(65.08*(1+AD6)*(1+AD5)+AD7,2)</f>
        <v>0</v>
      </c>
      <c r="AL64" s="8" t="str">
        <f>ROUND(72.1*(1+AD6)*(1+AD5)+AD7,2)</f>
        <v>0</v>
      </c>
      <c r="AM64" s="8" t="str">
        <f>ROUND(79.18*(1+AD6)*(1+AD5)+AD7,2)</f>
        <v>0</v>
      </c>
      <c r="AN64" s="8" t="str">
        <f>ROUND(86.89*(1+AD6)*(1+AD5)+AD7,2)</f>
        <v>0</v>
      </c>
      <c r="AO64" s="8" t="str">
        <f>ROUND(94.59*(1+AD6)*(1+AD5)+AD7,2)</f>
        <v>0</v>
      </c>
      <c r="AP64" s="8" t="str">
        <f>ROUND(102.33*(1+AD6)*(1+AD5)+AD7,2)</f>
        <v>0</v>
      </c>
      <c r="AQ64" s="8" t="str">
        <f>ROUND(109.6*(1+AD6)*(1+AD5)+AD7,2)</f>
        <v>0</v>
      </c>
      <c r="AR64" s="8" t="str">
        <f>ROUND(117.57*(1+AD6)*(1+AD5)+AD7,2)</f>
        <v>0</v>
      </c>
      <c r="AS64" s="8" t="str">
        <f>ROUND(124.79*(1+AD6)*(1+AD5)+AD7,2)</f>
        <v>0</v>
      </c>
      <c r="AT64" s="8" t="str">
        <f>ROUND(132*(1+AD6)*(1+AD5)+AD7,2)</f>
        <v>0</v>
      </c>
      <c r="AU64" s="8" t="str">
        <f>ROUND(139.19*(1+AD6)*(1+AD5)+AD7,2)</f>
        <v>0</v>
      </c>
      <c r="AV64" s="8" t="str">
        <f>ROUND(146.89*(1+AD6)*(1+AD5)+AD7,2)</f>
        <v>0</v>
      </c>
      <c r="AW64" s="8" t="str">
        <f>ROUND(155.32*(1+AD6)*(1+AD5)+AD7,2)</f>
        <v>0</v>
      </c>
      <c r="AX64" s="8" t="str">
        <f>ROUND(162.35*(1+AD6)*(1+AD5)+AD7,2)</f>
        <v>0</v>
      </c>
      <c r="AY64" s="8" t="str">
        <f>ROUND(169.72*(1+AD6)*(1+AD5)+AD7,2)</f>
        <v>0</v>
      </c>
      <c r="AZ64" s="8" t="str">
        <f>ROUND(176.85*(1+AD6)*(1+AD5)+AD7,2)</f>
        <v>0</v>
      </c>
      <c r="BA64" s="8" t="str">
        <f>ROUND(184.11*(1+AD6)*(1+AD5)+AD7,2)</f>
        <v>0</v>
      </c>
      <c r="BB64" s="8" t="str">
        <f>ROUND(193.06*(1+AD6)*(1+AD5)+AD7,2)</f>
        <v>0</v>
      </c>
      <c r="BC64" s="8" t="str">
        <f>ROUND(202.39*(1+AD6)*(1+AD5)+AD7,2)</f>
        <v>0</v>
      </c>
      <c r="BD64" s="8" t="str">
        <f>ROUND(211.09*(1+AD6)*(1+AD5)+AD7,2)</f>
        <v>0</v>
      </c>
      <c r="BE64" t="str">
        <f>ROUND(218.19*(1+AD6)*(1+AD5)+AD7,2)</f>
        <v>0</v>
      </c>
      <c r="BF64" t="str">
        <f>ROUND(225.19*(1+AD6)*(1+AD5)+AD7,2)</f>
        <v>0</v>
      </c>
    </row>
    <row r="65" spans="1:58">
      <c r="A65" s="8"/>
      <c r="B65" s="10"/>
      <c r="C65" s="14">
        <v>1800</v>
      </c>
      <c r="D65" s="8">
        <v>58.53</v>
      </c>
      <c r="E65" s="8">
        <v>65.72</v>
      </c>
      <c r="F65" s="8">
        <v>72.88</v>
      </c>
      <c r="G65" s="8">
        <v>80.13</v>
      </c>
      <c r="H65" s="8">
        <v>87.94</v>
      </c>
      <c r="I65" s="8">
        <v>95.78</v>
      </c>
      <c r="J65" s="8">
        <v>103.71</v>
      </c>
      <c r="K65" s="8">
        <v>111.1</v>
      </c>
      <c r="L65" s="8">
        <v>119.19</v>
      </c>
      <c r="M65" s="8">
        <v>126.56</v>
      </c>
      <c r="N65" s="8">
        <v>133.92</v>
      </c>
      <c r="O65" s="8">
        <v>141.26</v>
      </c>
      <c r="P65" s="8">
        <v>149.05</v>
      </c>
      <c r="Q65" s="8">
        <v>157.66</v>
      </c>
      <c r="R65" s="8">
        <v>164.84</v>
      </c>
      <c r="S65" s="8">
        <v>172.33</v>
      </c>
      <c r="T65" s="8">
        <v>179.6</v>
      </c>
      <c r="U65" s="8">
        <v>187.03</v>
      </c>
      <c r="V65" s="8">
        <v>196.11</v>
      </c>
      <c r="W65" s="8">
        <v>205.58</v>
      </c>
      <c r="X65" s="8">
        <v>214.42</v>
      </c>
      <c r="Y65" s="8">
        <v>221.68</v>
      </c>
      <c r="Z65" s="8">
        <v>228.76</v>
      </c>
      <c r="AA65" s="8"/>
      <c r="AB65" s="8"/>
      <c r="AC65" s="8"/>
      <c r="AD65" s="8"/>
      <c r="AE65" s="8"/>
      <c r="AF65" s="8"/>
      <c r="AG65" s="9"/>
      <c r="AH65" s="10"/>
      <c r="AI65" s="14">
        <v>1800</v>
      </c>
      <c r="AJ65" s="8" t="str">
        <f>ROUND(58.53*(1+AD6)*(1+AD5)+AD7,2)</f>
        <v>0</v>
      </c>
      <c r="AK65" s="8" t="str">
        <f>ROUND(65.72*(1+AD6)*(1+AD5)+AD7,2)</f>
        <v>0</v>
      </c>
      <c r="AL65" s="8" t="str">
        <f>ROUND(72.88*(1+AD6)*(1+AD5)+AD7,2)</f>
        <v>0</v>
      </c>
      <c r="AM65" s="8" t="str">
        <f>ROUND(80.13*(1+AD6)*(1+AD5)+AD7,2)</f>
        <v>0</v>
      </c>
      <c r="AN65" s="8" t="str">
        <f>ROUND(87.94*(1+AD6)*(1+AD5)+AD7,2)</f>
        <v>0</v>
      </c>
      <c r="AO65" s="8" t="str">
        <f>ROUND(95.78*(1+AD6)*(1+AD5)+AD7,2)</f>
        <v>0</v>
      </c>
      <c r="AP65" s="8" t="str">
        <f>ROUND(103.71*(1+AD6)*(1+AD5)+AD7,2)</f>
        <v>0</v>
      </c>
      <c r="AQ65" s="8" t="str">
        <f>ROUND(111.1*(1+AD6)*(1+AD5)+AD7,2)</f>
        <v>0</v>
      </c>
      <c r="AR65" s="8" t="str">
        <f>ROUND(119.19*(1+AD6)*(1+AD5)+AD7,2)</f>
        <v>0</v>
      </c>
      <c r="AS65" s="8" t="str">
        <f>ROUND(126.56*(1+AD6)*(1+AD5)+AD7,2)</f>
        <v>0</v>
      </c>
      <c r="AT65" s="8" t="str">
        <f>ROUND(133.92*(1+AD6)*(1+AD5)+AD7,2)</f>
        <v>0</v>
      </c>
      <c r="AU65" s="8" t="str">
        <f>ROUND(141.26*(1+AD6)*(1+AD5)+AD7,2)</f>
        <v>0</v>
      </c>
      <c r="AV65" s="8" t="str">
        <f>ROUND(149.05*(1+AD6)*(1+AD5)+AD7,2)</f>
        <v>0</v>
      </c>
      <c r="AW65" s="8" t="str">
        <f>ROUND(157.66*(1+AD6)*(1+AD5)+AD7,2)</f>
        <v>0</v>
      </c>
      <c r="AX65" s="8" t="str">
        <f>ROUND(164.84*(1+AD6)*(1+AD5)+AD7,2)</f>
        <v>0</v>
      </c>
      <c r="AY65" s="8" t="str">
        <f>ROUND(172.33*(1+AD6)*(1+AD5)+AD7,2)</f>
        <v>0</v>
      </c>
      <c r="AZ65" s="8" t="str">
        <f>ROUND(179.6*(1+AD6)*(1+AD5)+AD7,2)</f>
        <v>0</v>
      </c>
      <c r="BA65" s="8" t="str">
        <f>ROUND(187.03*(1+AD6)*(1+AD5)+AD7,2)</f>
        <v>0</v>
      </c>
      <c r="BB65" s="8" t="str">
        <f>ROUND(196.11*(1+AD6)*(1+AD5)+AD7,2)</f>
        <v>0</v>
      </c>
      <c r="BC65" s="8" t="str">
        <f>ROUND(205.58*(1+AD6)*(1+AD5)+AD7,2)</f>
        <v>0</v>
      </c>
      <c r="BD65" s="8" t="str">
        <f>ROUND(214.42*(1+AD6)*(1+AD5)+AD7,2)</f>
        <v>0</v>
      </c>
      <c r="BE65" t="str">
        <f>ROUND(221.68*(1+AD6)*(1+AD5)+AD7,2)</f>
        <v>0</v>
      </c>
      <c r="BF65" t="str">
        <f>ROUND(228.76*(1+AD6)*(1+AD5)+AD7,2)</f>
        <v>0</v>
      </c>
    </row>
    <row r="66" spans="1:58">
      <c r="A66" s="8"/>
      <c r="B66" s="10"/>
      <c r="C66" s="14">
        <v>1900</v>
      </c>
      <c r="D66" s="8">
        <v>59.04</v>
      </c>
      <c r="E66" s="8">
        <v>66.38</v>
      </c>
      <c r="F66" s="8">
        <v>73.67</v>
      </c>
      <c r="G66" s="8">
        <v>81.04</v>
      </c>
      <c r="H66" s="8">
        <v>89.02</v>
      </c>
      <c r="I66" s="8">
        <v>97.01</v>
      </c>
      <c r="J66" s="8">
        <v>105.04</v>
      </c>
      <c r="K66" s="8">
        <v>112.55</v>
      </c>
      <c r="L66" s="8">
        <v>120.82</v>
      </c>
      <c r="M66" s="8">
        <v>128.33</v>
      </c>
      <c r="N66" s="8">
        <v>135.84</v>
      </c>
      <c r="O66" s="8">
        <v>143.32</v>
      </c>
      <c r="P66" s="8">
        <v>151.26</v>
      </c>
      <c r="Q66" s="8">
        <v>159.99</v>
      </c>
      <c r="R66" s="8">
        <v>167.3</v>
      </c>
      <c r="S66" s="8">
        <v>174.97</v>
      </c>
      <c r="T66" s="8">
        <v>182.39</v>
      </c>
      <c r="U66" s="8">
        <v>189.9</v>
      </c>
      <c r="V66" s="8">
        <v>199.17</v>
      </c>
      <c r="W66" s="8">
        <v>208.79</v>
      </c>
      <c r="X66" s="8">
        <v>217.76</v>
      </c>
      <c r="Y66" s="8">
        <v>225.17</v>
      </c>
      <c r="Z66" s="8">
        <v>232.35</v>
      </c>
      <c r="AA66" s="8"/>
      <c r="AB66" s="8"/>
      <c r="AC66" s="8"/>
      <c r="AD66" s="8"/>
      <c r="AE66" s="8"/>
      <c r="AF66" s="8"/>
      <c r="AG66" s="9"/>
      <c r="AH66" s="10"/>
      <c r="AI66" s="14">
        <v>1900</v>
      </c>
      <c r="AJ66" s="8" t="str">
        <f>ROUND(59.04*(1+AD6)*(1+AD5)+AD7,2)</f>
        <v>0</v>
      </c>
      <c r="AK66" s="8" t="str">
        <f>ROUND(66.38*(1+AD6)*(1+AD5)+AD7,2)</f>
        <v>0</v>
      </c>
      <c r="AL66" s="8" t="str">
        <f>ROUND(73.67*(1+AD6)*(1+AD5)+AD7,2)</f>
        <v>0</v>
      </c>
      <c r="AM66" s="8" t="str">
        <f>ROUND(81.04*(1+AD6)*(1+AD5)+AD7,2)</f>
        <v>0</v>
      </c>
      <c r="AN66" s="8" t="str">
        <f>ROUND(89.02*(1+AD6)*(1+AD5)+AD7,2)</f>
        <v>0</v>
      </c>
      <c r="AO66" s="8" t="str">
        <f>ROUND(97.01*(1+AD6)*(1+AD5)+AD7,2)</f>
        <v>0</v>
      </c>
      <c r="AP66" s="8" t="str">
        <f>ROUND(105.04*(1+AD6)*(1+AD5)+AD7,2)</f>
        <v>0</v>
      </c>
      <c r="AQ66" s="8" t="str">
        <f>ROUND(112.55*(1+AD6)*(1+AD5)+AD7,2)</f>
        <v>0</v>
      </c>
      <c r="AR66" s="8" t="str">
        <f>ROUND(120.82*(1+AD6)*(1+AD5)+AD7,2)</f>
        <v>0</v>
      </c>
      <c r="AS66" s="8" t="str">
        <f>ROUND(128.33*(1+AD6)*(1+AD5)+AD7,2)</f>
        <v>0</v>
      </c>
      <c r="AT66" s="8" t="str">
        <f>ROUND(135.84*(1+AD6)*(1+AD5)+AD7,2)</f>
        <v>0</v>
      </c>
      <c r="AU66" s="8" t="str">
        <f>ROUND(143.32*(1+AD6)*(1+AD5)+AD7,2)</f>
        <v>0</v>
      </c>
      <c r="AV66" s="8" t="str">
        <f>ROUND(151.26*(1+AD6)*(1+AD5)+AD7,2)</f>
        <v>0</v>
      </c>
      <c r="AW66" s="8" t="str">
        <f>ROUND(159.99*(1+AD6)*(1+AD5)+AD7,2)</f>
        <v>0</v>
      </c>
      <c r="AX66" s="8" t="str">
        <f>ROUND(167.3*(1+AD6)*(1+AD5)+AD7,2)</f>
        <v>0</v>
      </c>
      <c r="AY66" s="8" t="str">
        <f>ROUND(174.97*(1+AD6)*(1+AD5)+AD7,2)</f>
        <v>0</v>
      </c>
      <c r="AZ66" s="8" t="str">
        <f>ROUND(182.39*(1+AD6)*(1+AD5)+AD7,2)</f>
        <v>0</v>
      </c>
      <c r="BA66" s="8" t="str">
        <f>ROUND(189.9*(1+AD6)*(1+AD5)+AD7,2)</f>
        <v>0</v>
      </c>
      <c r="BB66" s="8" t="str">
        <f>ROUND(199.17*(1+AD6)*(1+AD5)+AD7,2)</f>
        <v>0</v>
      </c>
      <c r="BC66" s="8" t="str">
        <f>ROUND(208.79*(1+AD6)*(1+AD5)+AD7,2)</f>
        <v>0</v>
      </c>
      <c r="BD66" s="8" t="str">
        <f>ROUND(217.76*(1+AD6)*(1+AD5)+AD7,2)</f>
        <v>0</v>
      </c>
      <c r="BE66" t="str">
        <f>ROUND(225.17*(1+AD6)*(1+AD5)+AD7,2)</f>
        <v>0</v>
      </c>
      <c r="BF66" t="str">
        <f>ROUND(232.35*(1+AD6)*(1+AD5)+AD7,2)</f>
        <v>0</v>
      </c>
    </row>
    <row r="67" spans="1:58">
      <c r="A67" s="8"/>
      <c r="B67" s="10"/>
      <c r="C67" s="14">
        <v>2000</v>
      </c>
      <c r="D67" s="8">
        <v>59.53</v>
      </c>
      <c r="E67" s="8">
        <v>67</v>
      </c>
      <c r="F67" s="8">
        <v>74.46</v>
      </c>
      <c r="G67" s="8">
        <v>81.95</v>
      </c>
      <c r="H67" s="8">
        <v>90.1</v>
      </c>
      <c r="I67" s="8">
        <v>98.21</v>
      </c>
      <c r="J67" s="8">
        <v>106.38</v>
      </c>
      <c r="K67" s="8">
        <v>114.09</v>
      </c>
      <c r="L67" s="8">
        <v>122.45</v>
      </c>
      <c r="M67" s="8">
        <v>130.1</v>
      </c>
      <c r="N67" s="8">
        <v>137.75</v>
      </c>
      <c r="O67" s="8">
        <v>145.39</v>
      </c>
      <c r="P67" s="8">
        <v>153.47</v>
      </c>
      <c r="Q67" s="8">
        <v>162.36</v>
      </c>
      <c r="R67" s="8">
        <v>169.81</v>
      </c>
      <c r="S67" s="8">
        <v>177.58</v>
      </c>
      <c r="T67" s="8">
        <v>185.13</v>
      </c>
      <c r="U67" s="8">
        <v>192.83</v>
      </c>
      <c r="V67" s="8">
        <v>202.22</v>
      </c>
      <c r="W67" s="8">
        <v>211.95</v>
      </c>
      <c r="X67" s="8">
        <v>221.1</v>
      </c>
      <c r="Y67" s="8">
        <v>228.62</v>
      </c>
      <c r="Z67" s="8">
        <v>235.92</v>
      </c>
      <c r="AA67" s="8"/>
      <c r="AB67" s="8"/>
      <c r="AC67" s="8"/>
      <c r="AD67" s="8"/>
      <c r="AE67" s="8"/>
      <c r="AF67" s="8"/>
      <c r="AG67" s="9"/>
      <c r="AH67" s="10"/>
      <c r="AI67" s="14">
        <v>2000</v>
      </c>
      <c r="AJ67" s="8" t="str">
        <f>ROUND(59.53*(1+AD6)*(1+AD5)+AD7,2)</f>
        <v>0</v>
      </c>
      <c r="AK67" s="8" t="str">
        <f>ROUND(67*(1+AD6)*(1+AD5)+AD7,2)</f>
        <v>0</v>
      </c>
      <c r="AL67" s="8" t="str">
        <f>ROUND(74.46*(1+AD6)*(1+AD5)+AD7,2)</f>
        <v>0</v>
      </c>
      <c r="AM67" s="8" t="str">
        <f>ROUND(81.95*(1+AD6)*(1+AD5)+AD7,2)</f>
        <v>0</v>
      </c>
      <c r="AN67" s="8" t="str">
        <f>ROUND(90.1*(1+AD6)*(1+AD5)+AD7,2)</f>
        <v>0</v>
      </c>
      <c r="AO67" s="8" t="str">
        <f>ROUND(98.21*(1+AD6)*(1+AD5)+AD7,2)</f>
        <v>0</v>
      </c>
      <c r="AP67" s="8" t="str">
        <f>ROUND(106.38*(1+AD6)*(1+AD5)+AD7,2)</f>
        <v>0</v>
      </c>
      <c r="AQ67" s="8" t="str">
        <f>ROUND(114.09*(1+AD6)*(1+AD5)+AD7,2)</f>
        <v>0</v>
      </c>
      <c r="AR67" s="8" t="str">
        <f>ROUND(122.45*(1+AD6)*(1+AD5)+AD7,2)</f>
        <v>0</v>
      </c>
      <c r="AS67" s="8" t="str">
        <f>ROUND(130.1*(1+AD6)*(1+AD5)+AD7,2)</f>
        <v>0</v>
      </c>
      <c r="AT67" s="8" t="str">
        <f>ROUND(137.75*(1+AD6)*(1+AD5)+AD7,2)</f>
        <v>0</v>
      </c>
      <c r="AU67" s="8" t="str">
        <f>ROUND(145.39*(1+AD6)*(1+AD5)+AD7,2)</f>
        <v>0</v>
      </c>
      <c r="AV67" s="8" t="str">
        <f>ROUND(153.47*(1+AD6)*(1+AD5)+AD7,2)</f>
        <v>0</v>
      </c>
      <c r="AW67" s="8" t="str">
        <f>ROUND(162.36*(1+AD6)*(1+AD5)+AD7,2)</f>
        <v>0</v>
      </c>
      <c r="AX67" s="8" t="str">
        <f>ROUND(169.81*(1+AD6)*(1+AD5)+AD7,2)</f>
        <v>0</v>
      </c>
      <c r="AY67" s="8" t="str">
        <f>ROUND(177.58*(1+AD6)*(1+AD5)+AD7,2)</f>
        <v>0</v>
      </c>
      <c r="AZ67" s="8" t="str">
        <f>ROUND(185.13*(1+AD6)*(1+AD5)+AD7,2)</f>
        <v>0</v>
      </c>
      <c r="BA67" s="8" t="str">
        <f>ROUND(192.83*(1+AD6)*(1+AD5)+AD7,2)</f>
        <v>0</v>
      </c>
      <c r="BB67" s="8" t="str">
        <f>ROUND(202.22*(1+AD6)*(1+AD5)+AD7,2)</f>
        <v>0</v>
      </c>
      <c r="BC67" s="8" t="str">
        <f>ROUND(211.95*(1+AD6)*(1+AD5)+AD7,2)</f>
        <v>0</v>
      </c>
      <c r="BD67" s="8" t="str">
        <f>ROUND(221.1*(1+AD6)*(1+AD5)+AD7,2)</f>
        <v>0</v>
      </c>
      <c r="BE67" t="str">
        <f>ROUND(228.62*(1+AD6)*(1+AD5)+AD7,2)</f>
        <v>0</v>
      </c>
      <c r="BF67" t="str">
        <f>ROUND(235.92*(1+AD6)*(1+AD5)+AD7,2)</f>
        <v>0</v>
      </c>
    </row>
    <row r="68" spans="1:58">
      <c r="A68" s="8"/>
      <c r="B68" s="10"/>
      <c r="C68" s="14">
        <v>2100</v>
      </c>
      <c r="D68" s="8">
        <v>60.03</v>
      </c>
      <c r="E68" s="8">
        <v>67.65</v>
      </c>
      <c r="F68" s="8">
        <v>75.25</v>
      </c>
      <c r="G68" s="8">
        <v>82.88</v>
      </c>
      <c r="H68" s="8">
        <v>91.15</v>
      </c>
      <c r="I68" s="8">
        <v>99.42</v>
      </c>
      <c r="J68" s="8">
        <v>107.75</v>
      </c>
      <c r="K68" s="8">
        <v>115.6</v>
      </c>
      <c r="L68" s="8">
        <v>124.09</v>
      </c>
      <c r="M68" s="8">
        <v>131.85</v>
      </c>
      <c r="N68" s="8">
        <v>139.67</v>
      </c>
      <c r="O68" s="8">
        <v>147.43</v>
      </c>
      <c r="P68" s="8">
        <v>155.66</v>
      </c>
      <c r="Q68" s="8">
        <v>164.69</v>
      </c>
      <c r="R68" s="8">
        <v>172.31</v>
      </c>
      <c r="S68" s="8">
        <v>180.23</v>
      </c>
      <c r="T68" s="8">
        <v>187.9</v>
      </c>
      <c r="U68" s="8">
        <v>195.73</v>
      </c>
      <c r="V68" s="8">
        <v>205.26</v>
      </c>
      <c r="W68" s="8">
        <v>215.16</v>
      </c>
      <c r="X68" s="8">
        <v>224.43</v>
      </c>
      <c r="Y68" s="8">
        <v>232.11</v>
      </c>
      <c r="Z68" s="8">
        <v>239.51</v>
      </c>
      <c r="AA68" s="8"/>
      <c r="AB68" s="8"/>
      <c r="AC68" s="8"/>
      <c r="AD68" s="8"/>
      <c r="AE68" s="8"/>
      <c r="AF68" s="8"/>
      <c r="AG68" s="9"/>
      <c r="AH68" s="10"/>
      <c r="AI68" s="14">
        <v>2100</v>
      </c>
      <c r="AJ68" s="8" t="str">
        <f>ROUND(60.03*(1+AD6)*(1+AD5)+AD7,2)</f>
        <v>0</v>
      </c>
      <c r="AK68" s="8" t="str">
        <f>ROUND(67.65*(1+AD6)*(1+AD5)+AD7,2)</f>
        <v>0</v>
      </c>
      <c r="AL68" s="8" t="str">
        <f>ROUND(75.25*(1+AD6)*(1+AD5)+AD7,2)</f>
        <v>0</v>
      </c>
      <c r="AM68" s="8" t="str">
        <f>ROUND(82.88*(1+AD6)*(1+AD5)+AD7,2)</f>
        <v>0</v>
      </c>
      <c r="AN68" s="8" t="str">
        <f>ROUND(91.15*(1+AD6)*(1+AD5)+AD7,2)</f>
        <v>0</v>
      </c>
      <c r="AO68" s="8" t="str">
        <f>ROUND(99.42*(1+AD6)*(1+AD5)+AD7,2)</f>
        <v>0</v>
      </c>
      <c r="AP68" s="8" t="str">
        <f>ROUND(107.75*(1+AD6)*(1+AD5)+AD7,2)</f>
        <v>0</v>
      </c>
      <c r="AQ68" s="8" t="str">
        <f>ROUND(115.6*(1+AD6)*(1+AD5)+AD7,2)</f>
        <v>0</v>
      </c>
      <c r="AR68" s="8" t="str">
        <f>ROUND(124.09*(1+AD6)*(1+AD5)+AD7,2)</f>
        <v>0</v>
      </c>
      <c r="AS68" s="8" t="str">
        <f>ROUND(131.85*(1+AD6)*(1+AD5)+AD7,2)</f>
        <v>0</v>
      </c>
      <c r="AT68" s="8" t="str">
        <f>ROUND(139.67*(1+AD6)*(1+AD5)+AD7,2)</f>
        <v>0</v>
      </c>
      <c r="AU68" s="8" t="str">
        <f>ROUND(147.43*(1+AD6)*(1+AD5)+AD7,2)</f>
        <v>0</v>
      </c>
      <c r="AV68" s="8" t="str">
        <f>ROUND(155.66*(1+AD6)*(1+AD5)+AD7,2)</f>
        <v>0</v>
      </c>
      <c r="AW68" s="8" t="str">
        <f>ROUND(164.69*(1+AD6)*(1+AD5)+AD7,2)</f>
        <v>0</v>
      </c>
      <c r="AX68" s="8" t="str">
        <f>ROUND(172.31*(1+AD6)*(1+AD5)+AD7,2)</f>
        <v>0</v>
      </c>
      <c r="AY68" s="8" t="str">
        <f>ROUND(180.23*(1+AD6)*(1+AD5)+AD7,2)</f>
        <v>0</v>
      </c>
      <c r="AZ68" s="8" t="str">
        <f>ROUND(187.9*(1+AD6)*(1+AD5)+AD7,2)</f>
        <v>0</v>
      </c>
      <c r="BA68" s="8" t="str">
        <f>ROUND(195.73*(1+AD6)*(1+AD5)+AD7,2)</f>
        <v>0</v>
      </c>
      <c r="BB68" s="8" t="str">
        <f>ROUND(205.26*(1+AD6)*(1+AD5)+AD7,2)</f>
        <v>0</v>
      </c>
      <c r="BC68" s="8" t="str">
        <f>ROUND(215.16*(1+AD6)*(1+AD5)+AD7,2)</f>
        <v>0</v>
      </c>
      <c r="BD68" s="8" t="str">
        <f>ROUND(224.43*(1+AD6)*(1+AD5)+AD7,2)</f>
        <v>0</v>
      </c>
      <c r="BE68" t="str">
        <f>ROUND(232.11*(1+AD6)*(1+AD5)+AD7,2)</f>
        <v>0</v>
      </c>
      <c r="BF68" t="str">
        <f>ROUND(239.51*(1+AD6)*(1+AD5)+AD7,2)</f>
        <v>0</v>
      </c>
    </row>
    <row r="69" spans="1:58">
      <c r="A69" s="8"/>
      <c r="B69" s="10"/>
      <c r="C69" s="14">
        <v>2200</v>
      </c>
      <c r="D69" s="8">
        <v>60.53</v>
      </c>
      <c r="E69" s="8">
        <v>68.29</v>
      </c>
      <c r="F69" s="8">
        <v>76.01</v>
      </c>
      <c r="G69" s="8">
        <v>83.82</v>
      </c>
      <c r="H69" s="8">
        <v>92.2</v>
      </c>
      <c r="I69" s="8">
        <v>100.63</v>
      </c>
      <c r="J69" s="8">
        <v>109.24</v>
      </c>
      <c r="K69" s="8">
        <v>117.06</v>
      </c>
      <c r="L69" s="8">
        <v>125.72</v>
      </c>
      <c r="M69" s="8">
        <v>133.66</v>
      </c>
      <c r="N69" s="8">
        <v>141.59</v>
      </c>
      <c r="O69" s="8">
        <v>149.49</v>
      </c>
      <c r="P69" s="8">
        <v>157.86</v>
      </c>
      <c r="Q69" s="8">
        <v>167.04</v>
      </c>
      <c r="R69" s="8">
        <v>174.77</v>
      </c>
      <c r="S69" s="8">
        <v>182.86</v>
      </c>
      <c r="T69" s="8">
        <v>190.66</v>
      </c>
      <c r="U69" s="8">
        <v>198.65</v>
      </c>
      <c r="V69" s="8">
        <v>208.31</v>
      </c>
      <c r="W69" s="8">
        <v>218.35</v>
      </c>
      <c r="X69" s="8">
        <v>227.75</v>
      </c>
      <c r="Y69" s="8">
        <v>235.58</v>
      </c>
      <c r="Z69" s="8">
        <v>243.09</v>
      </c>
      <c r="AA69" s="8"/>
      <c r="AB69" s="8"/>
      <c r="AC69" s="8"/>
      <c r="AD69" s="8"/>
      <c r="AE69" s="8"/>
      <c r="AF69" s="8"/>
      <c r="AG69" s="9"/>
      <c r="AH69" s="10"/>
      <c r="AI69" s="14">
        <v>2200</v>
      </c>
      <c r="AJ69" s="8" t="str">
        <f>ROUND(60.53*(1+AD6)*(1+AD5)+AD7,2)</f>
        <v>0</v>
      </c>
      <c r="AK69" s="8" t="str">
        <f>ROUND(68.29*(1+AD6)*(1+AD5)+AD7,2)</f>
        <v>0</v>
      </c>
      <c r="AL69" s="8" t="str">
        <f>ROUND(76.01*(1+AD6)*(1+AD5)+AD7,2)</f>
        <v>0</v>
      </c>
      <c r="AM69" s="8" t="str">
        <f>ROUND(83.82*(1+AD6)*(1+AD5)+AD7,2)</f>
        <v>0</v>
      </c>
      <c r="AN69" s="8" t="str">
        <f>ROUND(92.2*(1+AD6)*(1+AD5)+AD7,2)</f>
        <v>0</v>
      </c>
      <c r="AO69" s="8" t="str">
        <f>ROUND(100.63*(1+AD6)*(1+AD5)+AD7,2)</f>
        <v>0</v>
      </c>
      <c r="AP69" s="8" t="str">
        <f>ROUND(109.24*(1+AD6)*(1+AD5)+AD7,2)</f>
        <v>0</v>
      </c>
      <c r="AQ69" s="8" t="str">
        <f>ROUND(117.06*(1+AD6)*(1+AD5)+AD7,2)</f>
        <v>0</v>
      </c>
      <c r="AR69" s="8" t="str">
        <f>ROUND(125.72*(1+AD6)*(1+AD5)+AD7,2)</f>
        <v>0</v>
      </c>
      <c r="AS69" s="8" t="str">
        <f>ROUND(133.66*(1+AD6)*(1+AD5)+AD7,2)</f>
        <v>0</v>
      </c>
      <c r="AT69" s="8" t="str">
        <f>ROUND(141.59*(1+AD6)*(1+AD5)+AD7,2)</f>
        <v>0</v>
      </c>
      <c r="AU69" s="8" t="str">
        <f>ROUND(149.49*(1+AD6)*(1+AD5)+AD7,2)</f>
        <v>0</v>
      </c>
      <c r="AV69" s="8" t="str">
        <f>ROUND(157.86*(1+AD6)*(1+AD5)+AD7,2)</f>
        <v>0</v>
      </c>
      <c r="AW69" s="8" t="str">
        <f>ROUND(167.04*(1+AD6)*(1+AD5)+AD7,2)</f>
        <v>0</v>
      </c>
      <c r="AX69" s="8" t="str">
        <f>ROUND(174.77*(1+AD6)*(1+AD5)+AD7,2)</f>
        <v>0</v>
      </c>
      <c r="AY69" s="8" t="str">
        <f>ROUND(182.86*(1+AD6)*(1+AD5)+AD7,2)</f>
        <v>0</v>
      </c>
      <c r="AZ69" s="8" t="str">
        <f>ROUND(190.66*(1+AD6)*(1+AD5)+AD7,2)</f>
        <v>0</v>
      </c>
      <c r="BA69" s="8" t="str">
        <f>ROUND(198.65*(1+AD6)*(1+AD5)+AD7,2)</f>
        <v>0</v>
      </c>
      <c r="BB69" s="8" t="str">
        <f>ROUND(208.31*(1+AD6)*(1+AD5)+AD7,2)</f>
        <v>0</v>
      </c>
      <c r="BC69" s="8" t="str">
        <f>ROUND(218.35*(1+AD6)*(1+AD5)+AD7,2)</f>
        <v>0</v>
      </c>
      <c r="BD69" s="8" t="str">
        <f>ROUND(227.75*(1+AD6)*(1+AD5)+AD7,2)</f>
        <v>0</v>
      </c>
      <c r="BE69" t="str">
        <f>ROUND(235.58*(1+AD6)*(1+AD5)+AD7,2)</f>
        <v>0</v>
      </c>
      <c r="BF69" t="str">
        <f>ROUND(243.09*(1+AD6)*(1+AD5)+AD7,2)</f>
        <v>0</v>
      </c>
    </row>
    <row r="70" spans="1:58">
      <c r="A70" s="8"/>
      <c r="B70" s="10"/>
      <c r="C70" s="14">
        <v>2300</v>
      </c>
      <c r="D70" s="8">
        <v>61.05</v>
      </c>
      <c r="E70" s="8">
        <v>68.95</v>
      </c>
      <c r="F70" s="8">
        <v>76.8</v>
      </c>
      <c r="G70" s="8">
        <v>84.75</v>
      </c>
      <c r="H70" s="8">
        <v>93.27</v>
      </c>
      <c r="I70" s="8">
        <v>101.83</v>
      </c>
      <c r="J70" s="8">
        <v>110.46</v>
      </c>
      <c r="K70" s="8">
        <v>118.57</v>
      </c>
      <c r="L70" s="8">
        <v>127.35</v>
      </c>
      <c r="M70" s="8">
        <v>135.44</v>
      </c>
      <c r="N70" s="8">
        <v>141.98</v>
      </c>
      <c r="O70" s="8">
        <v>151.55</v>
      </c>
      <c r="P70" s="8">
        <v>160.07</v>
      </c>
      <c r="Q70" s="8">
        <v>169.37</v>
      </c>
      <c r="R70" s="8">
        <v>177.26</v>
      </c>
      <c r="S70" s="8">
        <v>185.48</v>
      </c>
      <c r="T70" s="8">
        <v>193.41</v>
      </c>
      <c r="U70" s="8">
        <v>201.57</v>
      </c>
      <c r="V70" s="8">
        <v>211.39</v>
      </c>
      <c r="W70" s="8">
        <v>221.54</v>
      </c>
      <c r="X70" s="8">
        <v>231.09</v>
      </c>
      <c r="Y70" s="8">
        <v>239.04</v>
      </c>
      <c r="Z70" s="8">
        <v>246.64</v>
      </c>
      <c r="AA70" s="8"/>
      <c r="AB70" s="8"/>
      <c r="AC70" s="8"/>
      <c r="AD70" s="8"/>
      <c r="AE70" s="8"/>
      <c r="AF70" s="8"/>
      <c r="AG70" s="9"/>
      <c r="AH70" s="10"/>
      <c r="AI70" s="14">
        <v>2300</v>
      </c>
      <c r="AJ70" s="8" t="str">
        <f>ROUND(61.05*(1+AD6)*(1+AD5)+AD7,2)</f>
        <v>0</v>
      </c>
      <c r="AK70" s="8" t="str">
        <f>ROUND(68.95*(1+AD6)*(1+AD5)+AD7,2)</f>
        <v>0</v>
      </c>
      <c r="AL70" s="8" t="str">
        <f>ROUND(76.8*(1+AD6)*(1+AD5)+AD7,2)</f>
        <v>0</v>
      </c>
      <c r="AM70" s="8" t="str">
        <f>ROUND(84.75*(1+AD6)*(1+AD5)+AD7,2)</f>
        <v>0</v>
      </c>
      <c r="AN70" s="8" t="str">
        <f>ROUND(93.27*(1+AD6)*(1+AD5)+AD7,2)</f>
        <v>0</v>
      </c>
      <c r="AO70" s="8" t="str">
        <f>ROUND(101.83*(1+AD6)*(1+AD5)+AD7,2)</f>
        <v>0</v>
      </c>
      <c r="AP70" s="8" t="str">
        <f>ROUND(110.46*(1+AD6)*(1+AD5)+AD7,2)</f>
        <v>0</v>
      </c>
      <c r="AQ70" s="8" t="str">
        <f>ROUND(118.57*(1+AD6)*(1+AD5)+AD7,2)</f>
        <v>0</v>
      </c>
      <c r="AR70" s="8" t="str">
        <f>ROUND(127.35*(1+AD6)*(1+AD5)+AD7,2)</f>
        <v>0</v>
      </c>
      <c r="AS70" s="8" t="str">
        <f>ROUND(135.44*(1+AD6)*(1+AD5)+AD7,2)</f>
        <v>0</v>
      </c>
      <c r="AT70" s="8" t="str">
        <f>ROUND(141.98*(1+AD6)*(1+AD5)+AD7,2)</f>
        <v>0</v>
      </c>
      <c r="AU70" s="8" t="str">
        <f>ROUND(151.55*(1+AD6)*(1+AD5)+AD7,2)</f>
        <v>0</v>
      </c>
      <c r="AV70" s="8" t="str">
        <f>ROUND(160.07*(1+AD6)*(1+AD5)+AD7,2)</f>
        <v>0</v>
      </c>
      <c r="AW70" s="8" t="str">
        <f>ROUND(169.37*(1+AD6)*(1+AD5)+AD7,2)</f>
        <v>0</v>
      </c>
      <c r="AX70" s="8" t="str">
        <f>ROUND(177.26*(1+AD6)*(1+AD5)+AD7,2)</f>
        <v>0</v>
      </c>
      <c r="AY70" s="8" t="str">
        <f>ROUND(185.48*(1+AD6)*(1+AD5)+AD7,2)</f>
        <v>0</v>
      </c>
      <c r="AZ70" s="8" t="str">
        <f>ROUND(193.41*(1+AD6)*(1+AD5)+AD7,2)</f>
        <v>0</v>
      </c>
      <c r="BA70" s="8" t="str">
        <f>ROUND(201.57*(1+AD6)*(1+AD5)+AD7,2)</f>
        <v>0</v>
      </c>
      <c r="BB70" s="8" t="str">
        <f>ROUND(211.39*(1+AD6)*(1+AD5)+AD7,2)</f>
        <v>0</v>
      </c>
      <c r="BC70" s="8" t="str">
        <f>ROUND(221.54*(1+AD6)*(1+AD5)+AD7,2)</f>
        <v>0</v>
      </c>
      <c r="BD70" s="8" t="str">
        <f>ROUND(231.09*(1+AD6)*(1+AD5)+AD7,2)</f>
        <v>0</v>
      </c>
      <c r="BE70" t="str">
        <f>ROUND(239.04*(1+AD6)*(1+AD5)+AD7,2)</f>
        <v>0</v>
      </c>
      <c r="BF70" t="str">
        <f>ROUND(246.64*(1+AD6)*(1+AD5)+AD7,2)</f>
        <v>0</v>
      </c>
    </row>
    <row r="71" spans="1:58">
      <c r="A71" s="8"/>
      <c r="B71" s="10"/>
      <c r="C71" s="14">
        <v>2400</v>
      </c>
      <c r="D71" s="8">
        <v>61.54</v>
      </c>
      <c r="E71" s="8">
        <v>69.57</v>
      </c>
      <c r="F71" s="8">
        <v>77.58</v>
      </c>
      <c r="G71" s="8">
        <v>85.66</v>
      </c>
      <c r="H71" s="8">
        <v>94.34</v>
      </c>
      <c r="I71" s="8">
        <v>103.04</v>
      </c>
      <c r="J71" s="8">
        <v>111.78</v>
      </c>
      <c r="K71" s="8">
        <v>120.06</v>
      </c>
      <c r="L71" s="8">
        <v>128.98</v>
      </c>
      <c r="M71" s="8">
        <v>137.18</v>
      </c>
      <c r="N71" s="8">
        <v>145.42</v>
      </c>
      <c r="O71" s="8">
        <v>153.58</v>
      </c>
      <c r="P71" s="8">
        <v>162.24</v>
      </c>
      <c r="Q71" s="8">
        <v>171.72</v>
      </c>
      <c r="R71" s="8">
        <v>179.76</v>
      </c>
      <c r="S71" s="8">
        <v>188.12</v>
      </c>
      <c r="T71" s="8">
        <v>196.2</v>
      </c>
      <c r="U71" s="8">
        <v>204.48</v>
      </c>
      <c r="V71" s="8">
        <v>214.42</v>
      </c>
      <c r="W71" s="8">
        <v>224.72</v>
      </c>
      <c r="X71" s="8">
        <v>234.43</v>
      </c>
      <c r="Y71" s="8">
        <v>242.54</v>
      </c>
      <c r="Z71" s="8">
        <v>250.24</v>
      </c>
      <c r="AA71" s="8"/>
      <c r="AB71" s="8"/>
      <c r="AC71" s="8"/>
      <c r="AD71" s="8"/>
      <c r="AE71" s="8"/>
      <c r="AF71" s="8"/>
      <c r="AG71" s="9"/>
      <c r="AH71" s="10"/>
      <c r="AI71" s="14">
        <v>2400</v>
      </c>
      <c r="AJ71" s="8" t="str">
        <f>ROUND(61.54*(1+AD6)*(1+AD5)+AD7,2)</f>
        <v>0</v>
      </c>
      <c r="AK71" s="8" t="str">
        <f>ROUND(69.57*(1+AD6)*(1+AD5)+AD7,2)</f>
        <v>0</v>
      </c>
      <c r="AL71" s="8" t="str">
        <f>ROUND(77.58*(1+AD6)*(1+AD5)+AD7,2)</f>
        <v>0</v>
      </c>
      <c r="AM71" s="8" t="str">
        <f>ROUND(85.66*(1+AD6)*(1+AD5)+AD7,2)</f>
        <v>0</v>
      </c>
      <c r="AN71" s="8" t="str">
        <f>ROUND(94.34*(1+AD6)*(1+AD5)+AD7,2)</f>
        <v>0</v>
      </c>
      <c r="AO71" s="8" t="str">
        <f>ROUND(103.04*(1+AD6)*(1+AD5)+AD7,2)</f>
        <v>0</v>
      </c>
      <c r="AP71" s="8" t="str">
        <f>ROUND(111.78*(1+AD6)*(1+AD5)+AD7,2)</f>
        <v>0</v>
      </c>
      <c r="AQ71" s="8" t="str">
        <f>ROUND(120.06*(1+AD6)*(1+AD5)+AD7,2)</f>
        <v>0</v>
      </c>
      <c r="AR71" s="8" t="str">
        <f>ROUND(128.98*(1+AD6)*(1+AD5)+AD7,2)</f>
        <v>0</v>
      </c>
      <c r="AS71" s="8" t="str">
        <f>ROUND(137.18*(1+AD6)*(1+AD5)+AD7,2)</f>
        <v>0</v>
      </c>
      <c r="AT71" s="8" t="str">
        <f>ROUND(145.42*(1+AD6)*(1+AD5)+AD7,2)</f>
        <v>0</v>
      </c>
      <c r="AU71" s="8" t="str">
        <f>ROUND(153.58*(1+AD6)*(1+AD5)+AD7,2)</f>
        <v>0</v>
      </c>
      <c r="AV71" s="8" t="str">
        <f>ROUND(162.24*(1+AD6)*(1+AD5)+AD7,2)</f>
        <v>0</v>
      </c>
      <c r="AW71" s="8" t="str">
        <f>ROUND(171.72*(1+AD6)*(1+AD5)+AD7,2)</f>
        <v>0</v>
      </c>
      <c r="AX71" s="8" t="str">
        <f>ROUND(179.76*(1+AD6)*(1+AD5)+AD7,2)</f>
        <v>0</v>
      </c>
      <c r="AY71" s="8" t="str">
        <f>ROUND(188.12*(1+AD6)*(1+AD5)+AD7,2)</f>
        <v>0</v>
      </c>
      <c r="AZ71" s="8" t="str">
        <f>ROUND(196.2*(1+AD6)*(1+AD5)+AD7,2)</f>
        <v>0</v>
      </c>
      <c r="BA71" s="8" t="str">
        <f>ROUND(204.48*(1+AD6)*(1+AD5)+AD7,2)</f>
        <v>0</v>
      </c>
      <c r="BB71" s="8" t="str">
        <f>ROUND(214.42*(1+AD6)*(1+AD5)+AD7,2)</f>
        <v>0</v>
      </c>
      <c r="BC71" s="8" t="str">
        <f>ROUND(224.72*(1+AD6)*(1+AD5)+AD7,2)</f>
        <v>0</v>
      </c>
      <c r="BD71" s="8" t="str">
        <f>ROUND(234.43*(1+AD6)*(1+AD5)+AD7,2)</f>
        <v>0</v>
      </c>
      <c r="BE71" t="str">
        <f>ROUND(242.54*(1+AD6)*(1+AD5)+AD7,2)</f>
        <v>0</v>
      </c>
      <c r="BF71" t="str">
        <f>ROUND(250.24*(1+AD6)*(1+AD5)+AD7,2)</f>
        <v>0</v>
      </c>
    </row>
    <row r="72" spans="1:58">
      <c r="A72" s="8"/>
      <c r="B72" s="10"/>
      <c r="C72" s="14">
        <v>2500</v>
      </c>
      <c r="D72" s="8">
        <v>63.18</v>
      </c>
      <c r="E72" s="8">
        <v>71.45</v>
      </c>
      <c r="F72" s="8">
        <v>79.69</v>
      </c>
      <c r="G72" s="8">
        <v>88.01</v>
      </c>
      <c r="H72" s="8">
        <v>96.93</v>
      </c>
      <c r="I72" s="8">
        <v>105.85</v>
      </c>
      <c r="J72" s="8">
        <v>114.83</v>
      </c>
      <c r="K72" s="8">
        <v>123.33</v>
      </c>
      <c r="L72" s="8">
        <v>132.5</v>
      </c>
      <c r="M72" s="8">
        <v>140.93</v>
      </c>
      <c r="N72" s="8">
        <v>149.4</v>
      </c>
      <c r="O72" s="8">
        <v>157.81</v>
      </c>
      <c r="P72" s="8">
        <v>166.69</v>
      </c>
      <c r="Q72" s="8">
        <v>176.42</v>
      </c>
      <c r="R72" s="8">
        <v>184.69</v>
      </c>
      <c r="S72" s="8">
        <v>193.28</v>
      </c>
      <c r="T72" s="8">
        <v>201.6</v>
      </c>
      <c r="U72" s="8">
        <v>210.12</v>
      </c>
      <c r="V72" s="8">
        <v>220.3</v>
      </c>
      <c r="W72" s="8">
        <v>230.85</v>
      </c>
      <c r="X72" s="8">
        <v>240.76</v>
      </c>
      <c r="Y72" s="8">
        <v>249.1</v>
      </c>
      <c r="Z72" s="8">
        <v>257.02</v>
      </c>
      <c r="AA72" s="8"/>
      <c r="AB72" s="8"/>
      <c r="AC72" s="8"/>
      <c r="AD72" s="8"/>
      <c r="AE72" s="8"/>
      <c r="AF72" s="8"/>
      <c r="AG72" s="9"/>
      <c r="AH72" s="10"/>
      <c r="AI72" s="14">
        <v>2500</v>
      </c>
      <c r="AJ72" s="8" t="str">
        <f>ROUND(63.18*(1+AD6)*(1+AD5)+AD7,2)</f>
        <v>0</v>
      </c>
      <c r="AK72" s="8" t="str">
        <f>ROUND(71.45*(1+AD6)*(1+AD5)+AD7,2)</f>
        <v>0</v>
      </c>
      <c r="AL72" s="8" t="str">
        <f>ROUND(79.69*(1+AD6)*(1+AD5)+AD7,2)</f>
        <v>0</v>
      </c>
      <c r="AM72" s="8" t="str">
        <f>ROUND(88.01*(1+AD6)*(1+AD5)+AD7,2)</f>
        <v>0</v>
      </c>
      <c r="AN72" s="8" t="str">
        <f>ROUND(96.93*(1+AD6)*(1+AD5)+AD7,2)</f>
        <v>0</v>
      </c>
      <c r="AO72" s="8" t="str">
        <f>ROUND(105.85*(1+AD6)*(1+AD5)+AD7,2)</f>
        <v>0</v>
      </c>
      <c r="AP72" s="8" t="str">
        <f>ROUND(114.83*(1+AD6)*(1+AD5)+AD7,2)</f>
        <v>0</v>
      </c>
      <c r="AQ72" s="8" t="str">
        <f>ROUND(123.33*(1+AD6)*(1+AD5)+AD7,2)</f>
        <v>0</v>
      </c>
      <c r="AR72" s="8" t="str">
        <f>ROUND(132.5*(1+AD6)*(1+AD5)+AD7,2)</f>
        <v>0</v>
      </c>
      <c r="AS72" s="8" t="str">
        <f>ROUND(140.93*(1+AD6)*(1+AD5)+AD7,2)</f>
        <v>0</v>
      </c>
      <c r="AT72" s="8" t="str">
        <f>ROUND(149.4*(1+AD6)*(1+AD5)+AD7,2)</f>
        <v>0</v>
      </c>
      <c r="AU72" s="8" t="str">
        <f>ROUND(157.81*(1+AD6)*(1+AD5)+AD7,2)</f>
        <v>0</v>
      </c>
      <c r="AV72" s="8" t="str">
        <f>ROUND(166.69*(1+AD6)*(1+AD5)+AD7,2)</f>
        <v>0</v>
      </c>
      <c r="AW72" s="8" t="str">
        <f>ROUND(176.42*(1+AD6)*(1+AD5)+AD7,2)</f>
        <v>0</v>
      </c>
      <c r="AX72" s="8" t="str">
        <f>ROUND(184.69*(1+AD6)*(1+AD5)+AD7,2)</f>
        <v>0</v>
      </c>
      <c r="AY72" s="8" t="str">
        <f>ROUND(193.28*(1+AD6)*(1+AD5)+AD7,2)</f>
        <v>0</v>
      </c>
      <c r="AZ72" s="8" t="str">
        <f>ROUND(201.6*(1+AD6)*(1+AD5)+AD7,2)</f>
        <v>0</v>
      </c>
      <c r="BA72" s="8" t="str">
        <f>ROUND(210.12*(1+AD6)*(1+AD5)+AD7,2)</f>
        <v>0</v>
      </c>
      <c r="BB72" s="8" t="str">
        <f>ROUND(220.3*(1+AD6)*(1+AD5)+AD7,2)</f>
        <v>0</v>
      </c>
      <c r="BC72" s="8" t="str">
        <f>ROUND(230.85*(1+AD6)*(1+AD5)+AD7,2)</f>
        <v>0</v>
      </c>
      <c r="BD72" s="8" t="str">
        <f>ROUND(240.76*(1+AD6)*(1+AD5)+AD7,2)</f>
        <v>0</v>
      </c>
      <c r="BE72" t="str">
        <f>ROUND(249.1*(1+AD6)*(1+AD5)+AD7,2)</f>
        <v>0</v>
      </c>
      <c r="BF72" t="str">
        <f>ROUND(257.02*(1+AD6)*(1+AD5)+AD7,2)</f>
        <v>0</v>
      </c>
    </row>
    <row r="73" spans="1:58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</row>
    <row r="74" spans="1:58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</row>
    <row r="75" spans="1:58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</row>
    <row r="76" spans="1:58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</row>
    <row r="77" spans="1:58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</row>
    <row r="78" spans="1:5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</row>
    <row r="79" spans="1:58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</row>
    <row r="80" spans="1:58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</row>
    <row r="81" spans="1:58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</row>
    <row r="82" spans="1:58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</row>
    <row r="83" spans="1:58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</row>
    <row r="84" spans="1:58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</row>
    <row r="85" spans="1:58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</row>
    <row r="86" spans="1:58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</row>
    <row r="87" spans="1:58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</row>
    <row r="88" spans="1:5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</row>
    <row r="89" spans="1:58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</row>
    <row r="90" spans="1:58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</row>
    <row r="91" spans="1:58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</row>
    <row r="92" spans="1:58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</row>
    <row r="93" spans="1:58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</row>
    <row r="94" spans="1:58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</row>
    <row r="95" spans="1:58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</row>
    <row r="96" spans="1:58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</row>
    <row r="97" spans="1:58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</row>
    <row r="98" spans="1:5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spans="1:58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spans="1:58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</row>
    <row r="101" spans="1:58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</row>
    <row r="102" spans="1:58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</row>
    <row r="103" spans="1:58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</row>
    <row r="104" spans="1:58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</row>
    <row r="105" spans="1:58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</row>
    <row r="106" spans="1:58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</row>
    <row r="107" spans="1:58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</row>
    <row r="108" spans="1:5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spans="1:58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spans="1:58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spans="1:58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</sheetData>
  <mergeCells>
    <mergeCell ref="C8:Z8"/>
    <mergeCell ref="AA8:AH8"/>
    <mergeCell ref="AI8:BF8"/>
    <mergeCell ref="C9:Z9"/>
    <mergeCell ref="AA9:AG9"/>
    <mergeCell ref="AI9:BF9"/>
    <mergeCell ref="C11:Z11"/>
    <mergeCell ref="AA11:AG11"/>
    <mergeCell ref="AI11:BF11"/>
    <mergeCell ref="C12:Z12"/>
    <mergeCell ref="AA12:AG12"/>
    <mergeCell ref="AI12:BF12"/>
    <mergeCell ref="C13:Z13"/>
    <mergeCell ref="AA13:AG13"/>
    <mergeCell ref="AI13:BF13"/>
    <mergeCell ref="AA14:AG14"/>
    <mergeCell ref="B15:B30"/>
    <mergeCell ref="AA15:AG15"/>
    <mergeCell ref="AH15:AH30"/>
    <mergeCell ref="AA16:AG16"/>
    <mergeCell ref="AA17:AG17"/>
    <mergeCell ref="AA18:AG18"/>
    <mergeCell ref="AA19:AG19"/>
    <mergeCell ref="AA20:AG20"/>
    <mergeCell ref="AA21:AG21"/>
    <mergeCell ref="AA22:AG22"/>
    <mergeCell ref="AA23:AG23"/>
    <mergeCell ref="AA24:AG24"/>
    <mergeCell ref="AA25:AG25"/>
    <mergeCell ref="AA26:AG26"/>
    <mergeCell ref="AA27:AG27"/>
    <mergeCell ref="AA28:AG28"/>
    <mergeCell ref="AA29:AG29"/>
    <mergeCell ref="AA30:AG30"/>
    <mergeCell ref="C32:Z32"/>
    <mergeCell ref="AA32:AG32"/>
    <mergeCell ref="AI32:BF32"/>
    <mergeCell ref="C33:Z33"/>
    <mergeCell ref="AA33:AG33"/>
    <mergeCell ref="AI33:BF33"/>
    <mergeCell ref="C34:Z34"/>
    <mergeCell ref="AA34:AG34"/>
    <mergeCell ref="AI34:BF34"/>
    <mergeCell ref="AA35:AG35"/>
    <mergeCell ref="B36:B51"/>
    <mergeCell ref="AA36:AG36"/>
    <mergeCell ref="AH36:AH51"/>
    <mergeCell ref="AA37:AG37"/>
    <mergeCell ref="AA38:AG38"/>
    <mergeCell ref="AA39:AG39"/>
    <mergeCell ref="AA40:AG40"/>
    <mergeCell ref="AA41:AG41"/>
    <mergeCell ref="AA42:AG42"/>
    <mergeCell ref="AA43:AG43"/>
    <mergeCell ref="AA44:AG44"/>
    <mergeCell ref="AA45:AG45"/>
    <mergeCell ref="AA46:AG46"/>
    <mergeCell ref="AA47:AG47"/>
    <mergeCell ref="AA48:AG48"/>
    <mergeCell ref="AA49:AG49"/>
    <mergeCell ref="AA50:AG50"/>
    <mergeCell ref="AA51:AG51"/>
    <mergeCell ref="C53:Z53"/>
    <mergeCell ref="AA53:AG53"/>
    <mergeCell ref="AI53:BF53"/>
    <mergeCell ref="C54:Z54"/>
    <mergeCell ref="AA54:AG54"/>
    <mergeCell ref="AI54:BF54"/>
    <mergeCell ref="C55:Z55"/>
    <mergeCell ref="AA55:AG55"/>
    <mergeCell ref="AI55:BF55"/>
    <mergeCell ref="AA56:AG56"/>
    <mergeCell ref="B57:B72"/>
    <mergeCell ref="AA57:AG57"/>
    <mergeCell ref="AH57:AH72"/>
    <mergeCell ref="AA58:AG58"/>
    <mergeCell ref="AA59:AG59"/>
    <mergeCell ref="AA60:AG60"/>
    <mergeCell ref="AA61:AG61"/>
    <mergeCell ref="AA62:AG62"/>
    <mergeCell ref="AA63:AG63"/>
    <mergeCell ref="AA64:AG64"/>
    <mergeCell ref="AA65:AG65"/>
    <mergeCell ref="AA66:AG66"/>
    <mergeCell ref="AA67:AG67"/>
    <mergeCell ref="AA68:AG68"/>
    <mergeCell ref="AA69:AG69"/>
    <mergeCell ref="AA70:AG70"/>
    <mergeCell ref="AA71:AG71"/>
    <mergeCell ref="AA72:AG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Price Calculator Prime Cruze Fa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2026-07-07T15:12:52+00:00</dcterms:created>
  <dcterms:modified xsi:type="dcterms:W3CDTF">2026-07-07T15:12:52+00:00</dcterms:modified>
  <dc:title>Prime Cruze Fascia Softshade Price List</dc:title>
  <dc:description/>
  <dc:subject/>
  <cp:keywords/>
  <cp:category/>
</cp:coreProperties>
</file>