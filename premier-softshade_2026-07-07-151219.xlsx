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Price Calculator Premier Softsh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<sst xmlns="http://schemas.openxmlformats.org/spreadsheetml/2006/main" uniqueCount="21">
  <si>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DISCOUNTED PRICE TABLES 2026</t>
  </si>
  <si>
    <t>Account Code:</t>
  </si>
  <si>
    <t>BLIN418</t>
  </si>
  <si>
    <t>Product</t>
  </si>
  <si>
    <t>Discount %</t>
  </si>
  <si>
    <t>Fascia Softshade - A</t>
  </si>
  <si>
    <t>35%</t>
  </si>
  <si>
    <t>Adjust the values above to update the suggested sell price tables.</t>
  </si>
  <si>
    <t>DISCOUNTED COST</t>
  </si>
  <si>
    <t>SUGGESTED SELL PRICE</t>
  </si>
  <si>
    <t>Premier Softshade - Premier Softshade - PRICE RANGE A</t>
  </si>
  <si>
    <t>Luna</t>
  </si>
  <si>
    <t>WIDTH</t>
  </si>
  <si>
    <t>(mm)</t>
  </si>
  <si>
    <t>DROP</t>
  </si>
  <si>
    <t>Mark Up:</t>
  </si>
  <si>
    <t>VAT:</t>
  </si>
  <si>
    <t>Additional Charge:</t>
  </si>
  <si>
    <t>100.00%</t>
  </si>
  <si>
    <t>20%</t>
  </si>
  <si>
    <t>£ 0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</si>
</sst>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6"/>
      <color rgb="FFffffff"/>
      <name val="Calibri"/>
    </font>
    <font>
      <b val="0"/>
      <i val="0"/>
      <strike val="0"/>
      <u val="none"/>
      <sz val="14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ebebe"/>
        <bgColor rgb="FFbebebe"/>
      </patternFill>
    </fill>
    <fill>
      <patternFill patternType="solid">
        <fgColor rgb="FF3C64B1"/>
        <bgColor rgb="FF3C64B1"/>
      </patternFill>
    </fill>
    <fill>
      <patternFill patternType="solid">
        <fgColor rgb="FFadc0e3"/>
        <bgColor rgb="FFadc0e3"/>
      </patternFill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center" textRotation="90" wrapText="true" shrinkToFit="false"/>
    </xf>
    <xf xfId="0" fontId="2" numFmtId="0" fillId="4" borderId="0" applyFont="1" applyNumberFormat="0" applyFill="1" applyBorder="0" applyAlignment="1">
      <alignment vertical="center" textRotation="90" wrapText="true" shrinkToFit="false"/>
    </xf>
    <xf xfId="0" fontId="3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5" borderId="0" applyFont="0" applyNumberFormat="0" applyFill="1" applyBorder="0" applyAlignment="1">
      <alignment vertical="bottom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5" numFmtId="0" fillId="2" borderId="0" applyFont="1" applyNumberFormat="0" applyFill="1" applyBorder="0" applyAlignment="1">
      <alignment vertical="bottom" textRotation="0" wrapText="true" shrinkToFit="false"/>
    </xf>
    <xf xfId="0" fontId="5" numFmtId="0" fillId="6" borderId="0" applyFont="1" applyNumberFormat="0" applyFill="1" applyBorder="0" applyAlignment="1">
      <alignment vertical="bottom" textRotation="0" wrapText="true" shrinkToFit="false"/>
    </xf>
    <xf xfId="0" fontId="5" numFmtId="9" fillId="6" borderId="0" applyFont="1" applyNumberFormat="1" applyFill="1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9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B5" sqref="B5"/>
    </sheetView>
  </sheetViews>
  <sheetFormatPr defaultRowHeight="14.4" outlineLevelRow="0" outlineLevelCol="0"/>
  <cols>
    <col min="1" max="1" width="30" customWidth="true" style="0"/>
    <col min="2" max="2" width="15" customWidth="true" style="0"/>
  </cols>
  <sheetData>
    <row r="1" spans="1:2">
      <c r="A1" s="1" t="s">
        <v>0</v>
      </c>
    </row>
    <row r="2" spans="1:2">
      <c r="A2" s="2" t="s">
        <v>1</v>
      </c>
      <c r="B2" s="3" t="s">
        <v>2</v>
      </c>
    </row>
    <row r="4" spans="1:2">
      <c r="A4" s="2" t="s">
        <v>3</v>
      </c>
      <c r="B4" s="2" t="s">
        <v>4</v>
      </c>
    </row>
    <row r="5" spans="1:2">
      <c r="A5" s="3" t="s">
        <v>5</v>
      </c>
      <c r="B5" s="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111"/>
  <sheetViews>
    <sheetView tabSelected="0" workbookViewId="0" showGridLines="true" showRowColHeaders="1">
      <selection activeCell="A1" sqref="A1:BD111"/>
    </sheetView>
  </sheetViews>
  <sheetFormatPr defaultRowHeight="14.4" outlineLevelRow="0" outlineLevelCol="0"/>
  <cols>
    <col min="2" max="2" width="4" customWidth="true" style="0"/>
    <col min="29" max="29" width="28.279" bestFit="true" customWidth="true" style="0"/>
    <col min="30" max="30" width="11.711" bestFit="true" customWidth="true" style="0"/>
    <col min="33" max="33" width="4" customWidth="true" style="0"/>
    <col min="34" max="34" width="4" customWidth="true" style="0"/>
  </cols>
  <sheetData>
    <row r="1" spans="1:58">
      <c r="A1" s="8"/>
      <c r="B1" s="9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</row>
    <row r="2" spans="1:58">
      <c r="A2" s="8"/>
      <c r="B2" s="9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9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</row>
    <row r="3" spans="1:58">
      <c r="A3" s="8"/>
      <c r="B3" s="9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</row>
    <row r="4" spans="1:58">
      <c r="A4" s="8"/>
      <c r="B4" s="9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17" t="s">
        <v>1</v>
      </c>
      <c r="AD4" s="18" t="str">
        <f>Summary!$B$2</f>
        <v>0</v>
      </c>
      <c r="AE4" s="8"/>
      <c r="AF4" s="8"/>
      <c r="AG4" s="8"/>
      <c r="AH4" s="9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</row>
    <row r="5" spans="1:58">
      <c r="A5" s="8"/>
      <c r="B5" s="9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17" t="s">
        <v>15</v>
      </c>
      <c r="AD5" s="19" t="s">
        <v>18</v>
      </c>
      <c r="AE5" s="8"/>
      <c r="AF5" s="8"/>
      <c r="AG5" s="8"/>
      <c r="AH5" s="9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</row>
    <row r="6" spans="1:58">
      <c r="A6" s="8"/>
      <c r="B6" s="9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7" t="s">
        <v>16</v>
      </c>
      <c r="AD6" s="19" t="s">
        <v>19</v>
      </c>
      <c r="AE6" s="8"/>
      <c r="AF6" s="8"/>
      <c r="AG6" s="8"/>
      <c r="AH6" s="9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</row>
    <row r="7" spans="1:58">
      <c r="A7" s="8"/>
      <c r="B7" s="9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7" t="s">
        <v>17</v>
      </c>
      <c r="AD7" s="18" t="s">
        <v>20</v>
      </c>
      <c r="AE7" s="8"/>
      <c r="AF7" s="8"/>
      <c r="AG7" s="8"/>
      <c r="AH7" s="9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1:58">
      <c r="A8" s="8"/>
      <c r="B8" s="9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16" t="s">
        <v>7</v>
      </c>
      <c r="AB8" s="16"/>
      <c r="AC8" s="16"/>
      <c r="AD8" s="16"/>
      <c r="AE8" s="16"/>
      <c r="AF8" s="16"/>
      <c r="AG8" s="20"/>
      <c r="AH8" s="20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1:58">
      <c r="A9" s="8"/>
      <c r="B9" s="9"/>
      <c r="C9" s="11" t="s">
        <v>8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8"/>
      <c r="AB9" s="8"/>
      <c r="AC9" s="8"/>
      <c r="AD9" s="8"/>
      <c r="AE9" s="8"/>
      <c r="AF9" s="8"/>
      <c r="AG9" s="9"/>
      <c r="AH9" s="9"/>
      <c r="AI9" s="11" t="s">
        <v>9</v>
      </c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4"/>
      <c r="BF9" s="4"/>
    </row>
    <row r="10" spans="1:58">
      <c r="A10" s="8"/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9"/>
      <c r="AH10" s="9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1:58">
      <c r="A11" s="8"/>
      <c r="B11" s="9"/>
      <c r="C11" s="12" t="s">
        <v>10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8"/>
      <c r="AB11" s="8"/>
      <c r="AC11" s="8"/>
      <c r="AD11" s="8"/>
      <c r="AE11" s="8"/>
      <c r="AF11" s="8"/>
      <c r="AG11" s="9"/>
      <c r="AH11" s="9"/>
      <c r="AI11" s="12" t="s">
        <v>10</v>
      </c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5"/>
      <c r="BF11" s="5"/>
    </row>
    <row r="12" spans="1:58">
      <c r="A12" s="8"/>
      <c r="B12" s="9"/>
      <c r="C12" s="12" t="s">
        <v>11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8"/>
      <c r="AB12" s="8"/>
      <c r="AC12" s="8"/>
      <c r="AD12" s="8"/>
      <c r="AE12" s="8"/>
      <c r="AF12" s="8"/>
      <c r="AG12" s="9"/>
      <c r="AH12" s="9"/>
      <c r="AI12" s="12" t="s">
        <v>11</v>
      </c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5"/>
      <c r="BF12" s="5"/>
    </row>
    <row r="13" spans="1:58">
      <c r="A13" s="8"/>
      <c r="B13" s="9"/>
      <c r="C13" s="13" t="s">
        <v>12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8"/>
      <c r="AB13" s="8"/>
      <c r="AC13" s="8"/>
      <c r="AD13" s="8"/>
      <c r="AE13" s="8"/>
      <c r="AF13" s="8"/>
      <c r="AG13" s="9"/>
      <c r="AH13" s="9"/>
      <c r="AI13" s="13" t="s">
        <v>12</v>
      </c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6"/>
      <c r="BF13" s="6"/>
    </row>
    <row r="14" spans="1:58">
      <c r="A14" s="8"/>
      <c r="B14" s="10"/>
      <c r="C14" s="14" t="s">
        <v>13</v>
      </c>
      <c r="D14" s="14">
        <v>300</v>
      </c>
      <c r="E14" s="14">
        <v>400</v>
      </c>
      <c r="F14" s="14">
        <v>500</v>
      </c>
      <c r="G14" s="14">
        <v>600</v>
      </c>
      <c r="H14" s="14">
        <v>700</v>
      </c>
      <c r="I14" s="14">
        <v>800</v>
      </c>
      <c r="J14" s="14">
        <v>900</v>
      </c>
      <c r="K14" s="14">
        <v>1000</v>
      </c>
      <c r="L14" s="14">
        <v>1100</v>
      </c>
      <c r="M14" s="14">
        <v>1200</v>
      </c>
      <c r="N14" s="14">
        <v>1300</v>
      </c>
      <c r="O14" s="14">
        <v>1400</v>
      </c>
      <c r="P14" s="14">
        <v>1500</v>
      </c>
      <c r="Q14" s="14">
        <v>1600</v>
      </c>
      <c r="R14" s="14">
        <v>1700</v>
      </c>
      <c r="S14" s="14">
        <v>1800</v>
      </c>
      <c r="T14" s="14">
        <v>1900</v>
      </c>
      <c r="U14" s="14">
        <v>2000</v>
      </c>
      <c r="V14" s="14">
        <v>2100</v>
      </c>
      <c r="W14" s="14">
        <v>2200</v>
      </c>
      <c r="X14" s="14">
        <v>2300</v>
      </c>
      <c r="Y14" s="14">
        <v>2400</v>
      </c>
      <c r="Z14" s="14">
        <v>2500</v>
      </c>
      <c r="AA14" s="8"/>
      <c r="AB14" s="8"/>
      <c r="AC14" s="8"/>
      <c r="AD14" s="8"/>
      <c r="AE14" s="8"/>
      <c r="AF14" s="8"/>
      <c r="AG14" s="9"/>
      <c r="AH14" s="10"/>
      <c r="AI14" s="14" t="s">
        <v>13</v>
      </c>
      <c r="AJ14" s="14">
        <v>300</v>
      </c>
      <c r="AK14" s="14">
        <v>400</v>
      </c>
      <c r="AL14" s="14">
        <v>500</v>
      </c>
      <c r="AM14" s="14">
        <v>600</v>
      </c>
      <c r="AN14" s="14">
        <v>700</v>
      </c>
      <c r="AO14" s="14">
        <v>800</v>
      </c>
      <c r="AP14" s="14">
        <v>900</v>
      </c>
      <c r="AQ14" s="14">
        <v>1000</v>
      </c>
      <c r="AR14" s="14">
        <v>1100</v>
      </c>
      <c r="AS14" s="14">
        <v>1200</v>
      </c>
      <c r="AT14" s="14">
        <v>1300</v>
      </c>
      <c r="AU14" s="14">
        <v>1400</v>
      </c>
      <c r="AV14" s="14">
        <v>1500</v>
      </c>
      <c r="AW14" s="14">
        <v>1600</v>
      </c>
      <c r="AX14" s="14">
        <v>1700</v>
      </c>
      <c r="AY14" s="14">
        <v>1800</v>
      </c>
      <c r="AZ14" s="14">
        <v>1900</v>
      </c>
      <c r="BA14" s="14">
        <v>2000</v>
      </c>
      <c r="BB14" s="14">
        <v>2100</v>
      </c>
      <c r="BC14" s="14">
        <v>2200</v>
      </c>
      <c r="BD14" s="14">
        <v>2300</v>
      </c>
      <c r="BE14" s="7">
        <v>2400</v>
      </c>
      <c r="BF14" s="7">
        <v>2500</v>
      </c>
    </row>
    <row r="15" spans="1:58">
      <c r="A15" s="8"/>
      <c r="B15" s="10" t="s">
        <v>14</v>
      </c>
      <c r="C15" s="14">
        <v>1000</v>
      </c>
      <c r="D15" s="8">
        <v>45.53</v>
      </c>
      <c r="E15" s="8">
        <v>50.35</v>
      </c>
      <c r="F15" s="8">
        <v>55.15</v>
      </c>
      <c r="G15" s="8">
        <v>60.06</v>
      </c>
      <c r="H15" s="8">
        <v>65.78</v>
      </c>
      <c r="I15" s="8">
        <v>71.54</v>
      </c>
      <c r="J15" s="8">
        <v>77.34</v>
      </c>
      <c r="K15" s="8">
        <v>82.48</v>
      </c>
      <c r="L15" s="8">
        <v>88.09</v>
      </c>
      <c r="M15" s="8">
        <v>93.15</v>
      </c>
      <c r="N15" s="8">
        <v>98.27</v>
      </c>
      <c r="O15" s="8">
        <v>103.3</v>
      </c>
      <c r="P15" s="8">
        <v>108.98</v>
      </c>
      <c r="Q15" s="8">
        <v>115.32</v>
      </c>
      <c r="R15" s="8">
        <v>120.15</v>
      </c>
      <c r="S15" s="8">
        <v>125.4</v>
      </c>
      <c r="T15" s="8">
        <v>130.34</v>
      </c>
      <c r="U15" s="8">
        <v>135.49</v>
      </c>
      <c r="V15" s="8">
        <v>142.5</v>
      </c>
      <c r="W15" s="8">
        <v>150.44</v>
      </c>
      <c r="X15" s="8">
        <v>157.54</v>
      </c>
      <c r="Y15" s="8">
        <v>162.49</v>
      </c>
      <c r="Z15" s="8">
        <v>167.95</v>
      </c>
      <c r="AA15" s="8"/>
      <c r="AB15" s="8"/>
      <c r="AC15" s="8"/>
      <c r="AD15" s="8"/>
      <c r="AE15" s="8"/>
      <c r="AF15" s="8"/>
      <c r="AG15" s="9"/>
      <c r="AH15" s="10" t="s">
        <v>14</v>
      </c>
      <c r="AI15" s="14">
        <v>1000</v>
      </c>
      <c r="AJ15" s="8" t="str">
        <f>ROUND(45.53*(1+AD6)*(1+AD5)+AD7,2)</f>
        <v>0</v>
      </c>
      <c r="AK15" s="8" t="str">
        <f>ROUND(50.35*(1+AD6)*(1+AD5)+AD7,2)</f>
        <v>0</v>
      </c>
      <c r="AL15" s="8" t="str">
        <f>ROUND(55.15*(1+AD6)*(1+AD5)+AD7,2)</f>
        <v>0</v>
      </c>
      <c r="AM15" s="8" t="str">
        <f>ROUND(60.06*(1+AD6)*(1+AD5)+AD7,2)</f>
        <v>0</v>
      </c>
      <c r="AN15" s="8" t="str">
        <f>ROUND(65.78*(1+AD6)*(1+AD5)+AD7,2)</f>
        <v>0</v>
      </c>
      <c r="AO15" s="8" t="str">
        <f>ROUND(71.54*(1+AD6)*(1+AD5)+AD7,2)</f>
        <v>0</v>
      </c>
      <c r="AP15" s="8" t="str">
        <f>ROUND(77.34*(1+AD6)*(1+AD5)+AD7,2)</f>
        <v>0</v>
      </c>
      <c r="AQ15" s="8" t="str">
        <f>ROUND(82.48*(1+AD6)*(1+AD5)+AD7,2)</f>
        <v>0</v>
      </c>
      <c r="AR15" s="8" t="str">
        <f>ROUND(88.09*(1+AD6)*(1+AD5)+AD7,2)</f>
        <v>0</v>
      </c>
      <c r="AS15" s="8" t="str">
        <f>ROUND(93.15*(1+AD6)*(1+AD5)+AD7,2)</f>
        <v>0</v>
      </c>
      <c r="AT15" s="8" t="str">
        <f>ROUND(98.27*(1+AD6)*(1+AD5)+AD7,2)</f>
        <v>0</v>
      </c>
      <c r="AU15" s="8" t="str">
        <f>ROUND(103.3*(1+AD6)*(1+AD5)+AD7,2)</f>
        <v>0</v>
      </c>
      <c r="AV15" s="8" t="str">
        <f>ROUND(108.98*(1+AD6)*(1+AD5)+AD7,2)</f>
        <v>0</v>
      </c>
      <c r="AW15" s="8" t="str">
        <f>ROUND(115.32*(1+AD6)*(1+AD5)+AD7,2)</f>
        <v>0</v>
      </c>
      <c r="AX15" s="8" t="str">
        <f>ROUND(120.15*(1+AD6)*(1+AD5)+AD7,2)</f>
        <v>0</v>
      </c>
      <c r="AY15" s="8" t="str">
        <f>ROUND(125.4*(1+AD6)*(1+AD5)+AD7,2)</f>
        <v>0</v>
      </c>
      <c r="AZ15" s="8" t="str">
        <f>ROUND(130.34*(1+AD6)*(1+AD5)+AD7,2)</f>
        <v>0</v>
      </c>
      <c r="BA15" s="8" t="str">
        <f>ROUND(135.49*(1+AD6)*(1+AD5)+AD7,2)</f>
        <v>0</v>
      </c>
      <c r="BB15" s="8" t="str">
        <f>ROUND(142.5*(1+AD6)*(1+AD5)+AD7,2)</f>
        <v>0</v>
      </c>
      <c r="BC15" s="8" t="str">
        <f>ROUND(150.44*(1+AD6)*(1+AD5)+AD7,2)</f>
        <v>0</v>
      </c>
      <c r="BD15" s="8" t="str">
        <f>ROUND(157.54*(1+AD6)*(1+AD5)+AD7,2)</f>
        <v>0</v>
      </c>
      <c r="BE15" t="str">
        <f>ROUND(162.49*(1+AD6)*(1+AD5)+AD7,2)</f>
        <v>0</v>
      </c>
      <c r="BF15" t="str">
        <f>ROUND(167.95*(1+AD6)*(1+AD5)+AD7,2)</f>
        <v>0</v>
      </c>
    </row>
    <row r="16" spans="1:58">
      <c r="A16" s="8"/>
      <c r="B16" s="10"/>
      <c r="C16" s="14">
        <v>1100</v>
      </c>
      <c r="D16" s="8">
        <v>45.92</v>
      </c>
      <c r="E16" s="8">
        <v>50.82</v>
      </c>
      <c r="F16" s="8">
        <v>55.74</v>
      </c>
      <c r="G16" s="8">
        <v>60.76</v>
      </c>
      <c r="H16" s="8">
        <v>66.61</v>
      </c>
      <c r="I16" s="8">
        <v>72.47</v>
      </c>
      <c r="J16" s="8">
        <v>78.37</v>
      </c>
      <c r="K16" s="8">
        <v>83.64</v>
      </c>
      <c r="L16" s="8">
        <v>89.33</v>
      </c>
      <c r="M16" s="8">
        <v>94.52</v>
      </c>
      <c r="N16" s="8">
        <v>99.73</v>
      </c>
      <c r="O16" s="8">
        <v>104.88</v>
      </c>
      <c r="P16" s="8">
        <v>110.68</v>
      </c>
      <c r="Q16" s="8">
        <v>117.1</v>
      </c>
      <c r="R16" s="8">
        <v>122.01</v>
      </c>
      <c r="S16" s="8">
        <v>127.41</v>
      </c>
      <c r="T16" s="8">
        <v>132.44</v>
      </c>
      <c r="U16" s="8">
        <v>137.69</v>
      </c>
      <c r="V16" s="8">
        <v>144.81</v>
      </c>
      <c r="W16" s="8">
        <v>152.91</v>
      </c>
      <c r="X16" s="8">
        <v>160.09</v>
      </c>
      <c r="Y16" s="8">
        <v>165.13</v>
      </c>
      <c r="Z16" s="8">
        <v>170.68</v>
      </c>
      <c r="AA16" s="8"/>
      <c r="AB16" s="8"/>
      <c r="AC16" s="8"/>
      <c r="AD16" s="8"/>
      <c r="AE16" s="8"/>
      <c r="AF16" s="8"/>
      <c r="AG16" s="9"/>
      <c r="AH16" s="10"/>
      <c r="AI16" s="14">
        <v>1100</v>
      </c>
      <c r="AJ16" s="8" t="str">
        <f>ROUND(45.92*(1+AD6)*(1+AD5)+AD7,2)</f>
        <v>0</v>
      </c>
      <c r="AK16" s="8" t="str">
        <f>ROUND(50.82*(1+AD6)*(1+AD5)+AD7,2)</f>
        <v>0</v>
      </c>
      <c r="AL16" s="8" t="str">
        <f>ROUND(55.74*(1+AD6)*(1+AD5)+AD7,2)</f>
        <v>0</v>
      </c>
      <c r="AM16" s="8" t="str">
        <f>ROUND(60.76*(1+AD6)*(1+AD5)+AD7,2)</f>
        <v>0</v>
      </c>
      <c r="AN16" s="8" t="str">
        <f>ROUND(66.61*(1+AD6)*(1+AD5)+AD7,2)</f>
        <v>0</v>
      </c>
      <c r="AO16" s="8" t="str">
        <f>ROUND(72.47*(1+AD6)*(1+AD5)+AD7,2)</f>
        <v>0</v>
      </c>
      <c r="AP16" s="8" t="str">
        <f>ROUND(78.37*(1+AD6)*(1+AD5)+AD7,2)</f>
        <v>0</v>
      </c>
      <c r="AQ16" s="8" t="str">
        <f>ROUND(83.64*(1+AD6)*(1+AD5)+AD7,2)</f>
        <v>0</v>
      </c>
      <c r="AR16" s="8" t="str">
        <f>ROUND(89.33*(1+AD6)*(1+AD5)+AD7,2)</f>
        <v>0</v>
      </c>
      <c r="AS16" s="8" t="str">
        <f>ROUND(94.52*(1+AD6)*(1+AD5)+AD7,2)</f>
        <v>0</v>
      </c>
      <c r="AT16" s="8" t="str">
        <f>ROUND(99.73*(1+AD6)*(1+AD5)+AD7,2)</f>
        <v>0</v>
      </c>
      <c r="AU16" s="8" t="str">
        <f>ROUND(104.88*(1+AD6)*(1+AD5)+AD7,2)</f>
        <v>0</v>
      </c>
      <c r="AV16" s="8" t="str">
        <f>ROUND(110.68*(1+AD6)*(1+AD5)+AD7,2)</f>
        <v>0</v>
      </c>
      <c r="AW16" s="8" t="str">
        <f>ROUND(117.1*(1+AD6)*(1+AD5)+AD7,2)</f>
        <v>0</v>
      </c>
      <c r="AX16" s="8" t="str">
        <f>ROUND(122.01*(1+AD6)*(1+AD5)+AD7,2)</f>
        <v>0</v>
      </c>
      <c r="AY16" s="8" t="str">
        <f>ROUND(127.41*(1+AD6)*(1+AD5)+AD7,2)</f>
        <v>0</v>
      </c>
      <c r="AZ16" s="8" t="str">
        <f>ROUND(132.44*(1+AD6)*(1+AD5)+AD7,2)</f>
        <v>0</v>
      </c>
      <c r="BA16" s="8" t="str">
        <f>ROUND(137.69*(1+AD6)*(1+AD5)+AD7,2)</f>
        <v>0</v>
      </c>
      <c r="BB16" s="8" t="str">
        <f>ROUND(144.81*(1+AD6)*(1+AD5)+AD7,2)</f>
        <v>0</v>
      </c>
      <c r="BC16" s="8" t="str">
        <f>ROUND(152.91*(1+AD6)*(1+AD5)+AD7,2)</f>
        <v>0</v>
      </c>
      <c r="BD16" s="8" t="str">
        <f>ROUND(160.09*(1+AD6)*(1+AD5)+AD7,2)</f>
        <v>0</v>
      </c>
      <c r="BE16" t="str">
        <f>ROUND(165.13*(1+AD6)*(1+AD5)+AD7,2)</f>
        <v>0</v>
      </c>
      <c r="BF16" t="str">
        <f>ROUND(170.68*(1+AD6)*(1+AD5)+AD7,2)</f>
        <v>0</v>
      </c>
    </row>
    <row r="17" spans="1:58">
      <c r="A17" s="8"/>
      <c r="B17" s="10"/>
      <c r="C17" s="14">
        <v>1200</v>
      </c>
      <c r="D17" s="8">
        <v>46.3</v>
      </c>
      <c r="E17" s="8">
        <v>51.35</v>
      </c>
      <c r="F17" s="8">
        <v>56.36</v>
      </c>
      <c r="G17" s="8">
        <v>61.46</v>
      </c>
      <c r="H17" s="8">
        <v>67.4</v>
      </c>
      <c r="I17" s="8">
        <v>73.37</v>
      </c>
      <c r="J17" s="8">
        <v>79.4</v>
      </c>
      <c r="K17" s="8">
        <v>84.77</v>
      </c>
      <c r="L17" s="8">
        <v>90.6</v>
      </c>
      <c r="M17" s="8">
        <v>95.89</v>
      </c>
      <c r="N17" s="8">
        <v>102.84</v>
      </c>
      <c r="O17" s="8">
        <v>106.44</v>
      </c>
      <c r="P17" s="8">
        <v>112.34</v>
      </c>
      <c r="Q17" s="8">
        <v>118.89</v>
      </c>
      <c r="R17" s="8">
        <v>123.94</v>
      </c>
      <c r="S17" s="8">
        <v>129.42</v>
      </c>
      <c r="T17" s="8">
        <v>134.52</v>
      </c>
      <c r="U17" s="8">
        <v>139.93</v>
      </c>
      <c r="V17" s="8">
        <v>147.13</v>
      </c>
      <c r="W17" s="8">
        <v>155.32</v>
      </c>
      <c r="X17" s="8">
        <v>162.64</v>
      </c>
      <c r="Y17" s="8">
        <v>167.79</v>
      </c>
      <c r="Z17" s="8">
        <v>173.44</v>
      </c>
      <c r="AA17" s="8"/>
      <c r="AB17" s="8"/>
      <c r="AC17" s="8"/>
      <c r="AD17" s="8"/>
      <c r="AE17" s="8"/>
      <c r="AF17" s="8"/>
      <c r="AG17" s="9"/>
      <c r="AH17" s="10"/>
      <c r="AI17" s="14">
        <v>1200</v>
      </c>
      <c r="AJ17" s="8" t="str">
        <f>ROUND(46.3*(1+AD6)*(1+AD5)+AD7,2)</f>
        <v>0</v>
      </c>
      <c r="AK17" s="8" t="str">
        <f>ROUND(51.35*(1+AD6)*(1+AD5)+AD7,2)</f>
        <v>0</v>
      </c>
      <c r="AL17" s="8" t="str">
        <f>ROUND(56.36*(1+AD6)*(1+AD5)+AD7,2)</f>
        <v>0</v>
      </c>
      <c r="AM17" s="8" t="str">
        <f>ROUND(61.46*(1+AD6)*(1+AD5)+AD7,2)</f>
        <v>0</v>
      </c>
      <c r="AN17" s="8" t="str">
        <f>ROUND(67.4*(1+AD6)*(1+AD5)+AD7,2)</f>
        <v>0</v>
      </c>
      <c r="AO17" s="8" t="str">
        <f>ROUND(73.37*(1+AD6)*(1+AD5)+AD7,2)</f>
        <v>0</v>
      </c>
      <c r="AP17" s="8" t="str">
        <f>ROUND(79.4*(1+AD6)*(1+AD5)+AD7,2)</f>
        <v>0</v>
      </c>
      <c r="AQ17" s="8" t="str">
        <f>ROUND(84.77*(1+AD6)*(1+AD5)+AD7,2)</f>
        <v>0</v>
      </c>
      <c r="AR17" s="8" t="str">
        <f>ROUND(90.6*(1+AD6)*(1+AD5)+AD7,2)</f>
        <v>0</v>
      </c>
      <c r="AS17" s="8" t="str">
        <f>ROUND(95.89*(1+AD6)*(1+AD5)+AD7,2)</f>
        <v>0</v>
      </c>
      <c r="AT17" s="8" t="str">
        <f>ROUND(102.84*(1+AD6)*(1+AD5)+AD7,2)</f>
        <v>0</v>
      </c>
      <c r="AU17" s="8" t="str">
        <f>ROUND(106.44*(1+AD6)*(1+AD5)+AD7,2)</f>
        <v>0</v>
      </c>
      <c r="AV17" s="8" t="str">
        <f>ROUND(112.34*(1+AD6)*(1+AD5)+AD7,2)</f>
        <v>0</v>
      </c>
      <c r="AW17" s="8" t="str">
        <f>ROUND(118.89*(1+AD6)*(1+AD5)+AD7,2)</f>
        <v>0</v>
      </c>
      <c r="AX17" s="8" t="str">
        <f>ROUND(123.94*(1+AD6)*(1+AD5)+AD7,2)</f>
        <v>0</v>
      </c>
      <c r="AY17" s="8" t="str">
        <f>ROUND(129.42*(1+AD6)*(1+AD5)+AD7,2)</f>
        <v>0</v>
      </c>
      <c r="AZ17" s="8" t="str">
        <f>ROUND(134.52*(1+AD6)*(1+AD5)+AD7,2)</f>
        <v>0</v>
      </c>
      <c r="BA17" s="8" t="str">
        <f>ROUND(139.93*(1+AD6)*(1+AD5)+AD7,2)</f>
        <v>0</v>
      </c>
      <c r="BB17" s="8" t="str">
        <f>ROUND(147.13*(1+AD6)*(1+AD5)+AD7,2)</f>
        <v>0</v>
      </c>
      <c r="BC17" s="8" t="str">
        <f>ROUND(155.32*(1+AD6)*(1+AD5)+AD7,2)</f>
        <v>0</v>
      </c>
      <c r="BD17" s="8" t="str">
        <f>ROUND(162.64*(1+AD6)*(1+AD5)+AD7,2)</f>
        <v>0</v>
      </c>
      <c r="BE17" t="str">
        <f>ROUND(167.79*(1+AD6)*(1+AD5)+AD7,2)</f>
        <v>0</v>
      </c>
      <c r="BF17" t="str">
        <f>ROUND(173.44*(1+AD6)*(1+AD5)+AD7,2)</f>
        <v>0</v>
      </c>
    </row>
    <row r="18" spans="1:58">
      <c r="A18" s="8"/>
      <c r="B18" s="10"/>
      <c r="C18" s="14">
        <v>1300</v>
      </c>
      <c r="D18" s="8">
        <v>46.66</v>
      </c>
      <c r="E18" s="8">
        <v>51.82</v>
      </c>
      <c r="F18" s="8">
        <v>56.97</v>
      </c>
      <c r="G18" s="8">
        <v>62.19</v>
      </c>
      <c r="H18" s="8">
        <v>68.23</v>
      </c>
      <c r="I18" s="8">
        <v>74.18</v>
      </c>
      <c r="J18" s="8">
        <v>80.42</v>
      </c>
      <c r="K18" s="8">
        <v>85.92</v>
      </c>
      <c r="L18" s="8">
        <v>91.85</v>
      </c>
      <c r="M18" s="8">
        <v>97.23</v>
      </c>
      <c r="N18" s="8">
        <v>102.65</v>
      </c>
      <c r="O18" s="8">
        <v>108.02</v>
      </c>
      <c r="P18" s="8">
        <v>114.01</v>
      </c>
      <c r="Q18" s="8">
        <v>120.68</v>
      </c>
      <c r="R18" s="8">
        <v>125.81</v>
      </c>
      <c r="S18" s="8">
        <v>131.42</v>
      </c>
      <c r="T18" s="8">
        <v>136.66</v>
      </c>
      <c r="U18" s="8">
        <v>142.15</v>
      </c>
      <c r="V18" s="8">
        <v>149.46</v>
      </c>
      <c r="W18" s="8">
        <v>157.78</v>
      </c>
      <c r="X18" s="8">
        <v>165.18</v>
      </c>
      <c r="Y18" s="8">
        <v>170.44</v>
      </c>
      <c r="Z18" s="8">
        <v>176.14</v>
      </c>
      <c r="AA18" s="8"/>
      <c r="AB18" s="8"/>
      <c r="AC18" s="8"/>
      <c r="AD18" s="8"/>
      <c r="AE18" s="8"/>
      <c r="AF18" s="8"/>
      <c r="AG18" s="9"/>
      <c r="AH18" s="10"/>
      <c r="AI18" s="14">
        <v>1300</v>
      </c>
      <c r="AJ18" s="8" t="str">
        <f>ROUND(46.66*(1+AD6)*(1+AD5)+AD7,2)</f>
        <v>0</v>
      </c>
      <c r="AK18" s="8" t="str">
        <f>ROUND(51.82*(1+AD6)*(1+AD5)+AD7,2)</f>
        <v>0</v>
      </c>
      <c r="AL18" s="8" t="str">
        <f>ROUND(56.97*(1+AD6)*(1+AD5)+AD7,2)</f>
        <v>0</v>
      </c>
      <c r="AM18" s="8" t="str">
        <f>ROUND(62.19*(1+AD6)*(1+AD5)+AD7,2)</f>
        <v>0</v>
      </c>
      <c r="AN18" s="8" t="str">
        <f>ROUND(68.23*(1+AD6)*(1+AD5)+AD7,2)</f>
        <v>0</v>
      </c>
      <c r="AO18" s="8" t="str">
        <f>ROUND(74.18*(1+AD6)*(1+AD5)+AD7,2)</f>
        <v>0</v>
      </c>
      <c r="AP18" s="8" t="str">
        <f>ROUND(80.42*(1+AD6)*(1+AD5)+AD7,2)</f>
        <v>0</v>
      </c>
      <c r="AQ18" s="8" t="str">
        <f>ROUND(85.92*(1+AD6)*(1+AD5)+AD7,2)</f>
        <v>0</v>
      </c>
      <c r="AR18" s="8" t="str">
        <f>ROUND(91.85*(1+AD6)*(1+AD5)+AD7,2)</f>
        <v>0</v>
      </c>
      <c r="AS18" s="8" t="str">
        <f>ROUND(97.23*(1+AD6)*(1+AD5)+AD7,2)</f>
        <v>0</v>
      </c>
      <c r="AT18" s="8" t="str">
        <f>ROUND(102.65*(1+AD6)*(1+AD5)+AD7,2)</f>
        <v>0</v>
      </c>
      <c r="AU18" s="8" t="str">
        <f>ROUND(108.02*(1+AD6)*(1+AD5)+AD7,2)</f>
        <v>0</v>
      </c>
      <c r="AV18" s="8" t="str">
        <f>ROUND(114.01*(1+AD6)*(1+AD5)+AD7,2)</f>
        <v>0</v>
      </c>
      <c r="AW18" s="8" t="str">
        <f>ROUND(120.68*(1+AD6)*(1+AD5)+AD7,2)</f>
        <v>0</v>
      </c>
      <c r="AX18" s="8" t="str">
        <f>ROUND(125.81*(1+AD6)*(1+AD5)+AD7,2)</f>
        <v>0</v>
      </c>
      <c r="AY18" s="8" t="str">
        <f>ROUND(131.42*(1+AD6)*(1+AD5)+AD7,2)</f>
        <v>0</v>
      </c>
      <c r="AZ18" s="8" t="str">
        <f>ROUND(136.66*(1+AD6)*(1+AD5)+AD7,2)</f>
        <v>0</v>
      </c>
      <c r="BA18" s="8" t="str">
        <f>ROUND(142.15*(1+AD6)*(1+AD5)+AD7,2)</f>
        <v>0</v>
      </c>
      <c r="BB18" s="8" t="str">
        <f>ROUND(149.46*(1+AD6)*(1+AD5)+AD7,2)</f>
        <v>0</v>
      </c>
      <c r="BC18" s="8" t="str">
        <f>ROUND(157.78*(1+AD6)*(1+AD5)+AD7,2)</f>
        <v>0</v>
      </c>
      <c r="BD18" s="8" t="str">
        <f>ROUND(165.18*(1+AD6)*(1+AD5)+AD7,2)</f>
        <v>0</v>
      </c>
      <c r="BE18" t="str">
        <f>ROUND(170.44*(1+AD6)*(1+AD5)+AD7,2)</f>
        <v>0</v>
      </c>
      <c r="BF18" t="str">
        <f>ROUND(176.14*(1+AD6)*(1+AD5)+AD7,2)</f>
        <v>0</v>
      </c>
    </row>
    <row r="19" spans="1:58">
      <c r="A19" s="8"/>
      <c r="B19" s="10"/>
      <c r="C19" s="14">
        <v>1400</v>
      </c>
      <c r="D19" s="8">
        <v>47.05</v>
      </c>
      <c r="E19" s="8">
        <v>52.33</v>
      </c>
      <c r="F19" s="8">
        <v>57.56</v>
      </c>
      <c r="G19" s="8">
        <v>62.9</v>
      </c>
      <c r="H19" s="8">
        <v>69.04</v>
      </c>
      <c r="I19" s="8">
        <v>75.22</v>
      </c>
      <c r="J19" s="8">
        <v>81.46</v>
      </c>
      <c r="K19" s="8">
        <v>87.06</v>
      </c>
      <c r="L19" s="8">
        <v>93.07</v>
      </c>
      <c r="M19" s="8">
        <v>98.6</v>
      </c>
      <c r="N19" s="8">
        <v>104.12</v>
      </c>
      <c r="O19" s="8">
        <v>109.59</v>
      </c>
      <c r="P19" s="8">
        <v>115.7</v>
      </c>
      <c r="Q19" s="8">
        <v>122.45</v>
      </c>
      <c r="R19" s="8">
        <v>127.7</v>
      </c>
      <c r="S19" s="8">
        <v>133.39</v>
      </c>
      <c r="T19" s="8">
        <v>138.76</v>
      </c>
      <c r="U19" s="8">
        <v>144.37</v>
      </c>
      <c r="V19" s="8">
        <v>151.78</v>
      </c>
      <c r="W19" s="8">
        <v>160.19</v>
      </c>
      <c r="X19" s="8">
        <v>167.75</v>
      </c>
      <c r="Y19" s="8">
        <v>173.11</v>
      </c>
      <c r="Z19" s="8">
        <v>178.9</v>
      </c>
      <c r="AA19" s="8"/>
      <c r="AB19" s="8"/>
      <c r="AC19" s="8"/>
      <c r="AD19" s="8"/>
      <c r="AE19" s="8"/>
      <c r="AF19" s="8"/>
      <c r="AG19" s="9"/>
      <c r="AH19" s="10"/>
      <c r="AI19" s="14">
        <v>1400</v>
      </c>
      <c r="AJ19" s="8" t="str">
        <f>ROUND(47.05*(1+AD6)*(1+AD5)+AD7,2)</f>
        <v>0</v>
      </c>
      <c r="AK19" s="8" t="str">
        <f>ROUND(52.33*(1+AD6)*(1+AD5)+AD7,2)</f>
        <v>0</v>
      </c>
      <c r="AL19" s="8" t="str">
        <f>ROUND(57.56*(1+AD6)*(1+AD5)+AD7,2)</f>
        <v>0</v>
      </c>
      <c r="AM19" s="8" t="str">
        <f>ROUND(62.9*(1+AD6)*(1+AD5)+AD7,2)</f>
        <v>0</v>
      </c>
      <c r="AN19" s="8" t="str">
        <f>ROUND(69.04*(1+AD6)*(1+AD5)+AD7,2)</f>
        <v>0</v>
      </c>
      <c r="AO19" s="8" t="str">
        <f>ROUND(75.22*(1+AD6)*(1+AD5)+AD7,2)</f>
        <v>0</v>
      </c>
      <c r="AP19" s="8" t="str">
        <f>ROUND(81.46*(1+AD6)*(1+AD5)+AD7,2)</f>
        <v>0</v>
      </c>
      <c r="AQ19" s="8" t="str">
        <f>ROUND(87.06*(1+AD6)*(1+AD5)+AD7,2)</f>
        <v>0</v>
      </c>
      <c r="AR19" s="8" t="str">
        <f>ROUND(93.07*(1+AD6)*(1+AD5)+AD7,2)</f>
        <v>0</v>
      </c>
      <c r="AS19" s="8" t="str">
        <f>ROUND(98.6*(1+AD6)*(1+AD5)+AD7,2)</f>
        <v>0</v>
      </c>
      <c r="AT19" s="8" t="str">
        <f>ROUND(104.12*(1+AD6)*(1+AD5)+AD7,2)</f>
        <v>0</v>
      </c>
      <c r="AU19" s="8" t="str">
        <f>ROUND(109.59*(1+AD6)*(1+AD5)+AD7,2)</f>
        <v>0</v>
      </c>
      <c r="AV19" s="8" t="str">
        <f>ROUND(115.7*(1+AD6)*(1+AD5)+AD7,2)</f>
        <v>0</v>
      </c>
      <c r="AW19" s="8" t="str">
        <f>ROUND(122.45*(1+AD6)*(1+AD5)+AD7,2)</f>
        <v>0</v>
      </c>
      <c r="AX19" s="8" t="str">
        <f>ROUND(127.7*(1+AD6)*(1+AD5)+AD7,2)</f>
        <v>0</v>
      </c>
      <c r="AY19" s="8" t="str">
        <f>ROUND(133.39*(1+AD6)*(1+AD5)+AD7,2)</f>
        <v>0</v>
      </c>
      <c r="AZ19" s="8" t="str">
        <f>ROUND(138.76*(1+AD6)*(1+AD5)+AD7,2)</f>
        <v>0</v>
      </c>
      <c r="BA19" s="8" t="str">
        <f>ROUND(144.37*(1+AD6)*(1+AD5)+AD7,2)</f>
        <v>0</v>
      </c>
      <c r="BB19" s="8" t="str">
        <f>ROUND(151.78*(1+AD6)*(1+AD5)+AD7,2)</f>
        <v>0</v>
      </c>
      <c r="BC19" s="8" t="str">
        <f>ROUND(160.19*(1+AD6)*(1+AD5)+AD7,2)</f>
        <v>0</v>
      </c>
      <c r="BD19" s="8" t="str">
        <f>ROUND(167.75*(1+AD6)*(1+AD5)+AD7,2)</f>
        <v>0</v>
      </c>
      <c r="BE19" t="str">
        <f>ROUND(173.11*(1+AD6)*(1+AD5)+AD7,2)</f>
        <v>0</v>
      </c>
      <c r="BF19" t="str">
        <f>ROUND(178.9*(1+AD6)*(1+AD5)+AD7,2)</f>
        <v>0</v>
      </c>
    </row>
    <row r="20" spans="1:58">
      <c r="A20" s="8"/>
      <c r="B20" s="10"/>
      <c r="C20" s="14">
        <v>1500</v>
      </c>
      <c r="D20" s="8">
        <v>47.44</v>
      </c>
      <c r="E20" s="8">
        <v>52.81</v>
      </c>
      <c r="F20" s="8">
        <v>58.17</v>
      </c>
      <c r="G20" s="8">
        <v>63.59</v>
      </c>
      <c r="H20" s="8">
        <v>69.84</v>
      </c>
      <c r="I20" s="8">
        <v>76.13</v>
      </c>
      <c r="J20" s="8">
        <v>82.5</v>
      </c>
      <c r="K20" s="8">
        <v>88.22</v>
      </c>
      <c r="L20" s="8">
        <v>94.32</v>
      </c>
      <c r="M20" s="8">
        <v>99.94</v>
      </c>
      <c r="N20" s="8">
        <v>105.59</v>
      </c>
      <c r="O20" s="8">
        <v>111.14</v>
      </c>
      <c r="P20" s="8">
        <v>117.38</v>
      </c>
      <c r="Q20" s="8">
        <v>124.23</v>
      </c>
      <c r="R20" s="8">
        <v>129.61</v>
      </c>
      <c r="S20" s="8">
        <v>135.43</v>
      </c>
      <c r="T20" s="8">
        <v>140.89</v>
      </c>
      <c r="U20" s="8">
        <v>146.6</v>
      </c>
      <c r="V20" s="8">
        <v>154.15</v>
      </c>
      <c r="W20" s="8">
        <v>162.65</v>
      </c>
      <c r="X20" s="8">
        <v>170.29</v>
      </c>
      <c r="Y20" s="8">
        <v>175.77</v>
      </c>
      <c r="Z20" s="8">
        <v>181.63</v>
      </c>
      <c r="AA20" s="8"/>
      <c r="AB20" s="8"/>
      <c r="AC20" s="8"/>
      <c r="AD20" s="8"/>
      <c r="AE20" s="8"/>
      <c r="AF20" s="8"/>
      <c r="AG20" s="9"/>
      <c r="AH20" s="10"/>
      <c r="AI20" s="14">
        <v>1500</v>
      </c>
      <c r="AJ20" s="8" t="str">
        <f>ROUND(47.44*(1+AD6)*(1+AD5)+AD7,2)</f>
        <v>0</v>
      </c>
      <c r="AK20" s="8" t="str">
        <f>ROUND(52.81*(1+AD6)*(1+AD5)+AD7,2)</f>
        <v>0</v>
      </c>
      <c r="AL20" s="8" t="str">
        <f>ROUND(58.17*(1+AD6)*(1+AD5)+AD7,2)</f>
        <v>0</v>
      </c>
      <c r="AM20" s="8" t="str">
        <f>ROUND(63.59*(1+AD6)*(1+AD5)+AD7,2)</f>
        <v>0</v>
      </c>
      <c r="AN20" s="8" t="str">
        <f>ROUND(69.84*(1+AD6)*(1+AD5)+AD7,2)</f>
        <v>0</v>
      </c>
      <c r="AO20" s="8" t="str">
        <f>ROUND(76.13*(1+AD6)*(1+AD5)+AD7,2)</f>
        <v>0</v>
      </c>
      <c r="AP20" s="8" t="str">
        <f>ROUND(82.5*(1+AD6)*(1+AD5)+AD7,2)</f>
        <v>0</v>
      </c>
      <c r="AQ20" s="8" t="str">
        <f>ROUND(88.22*(1+AD6)*(1+AD5)+AD7,2)</f>
        <v>0</v>
      </c>
      <c r="AR20" s="8" t="str">
        <f>ROUND(94.32*(1+AD6)*(1+AD5)+AD7,2)</f>
        <v>0</v>
      </c>
      <c r="AS20" s="8" t="str">
        <f>ROUND(99.94*(1+AD6)*(1+AD5)+AD7,2)</f>
        <v>0</v>
      </c>
      <c r="AT20" s="8" t="str">
        <f>ROUND(105.59*(1+AD6)*(1+AD5)+AD7,2)</f>
        <v>0</v>
      </c>
      <c r="AU20" s="8" t="str">
        <f>ROUND(111.14*(1+AD6)*(1+AD5)+AD7,2)</f>
        <v>0</v>
      </c>
      <c r="AV20" s="8" t="str">
        <f>ROUND(117.38*(1+AD6)*(1+AD5)+AD7,2)</f>
        <v>0</v>
      </c>
      <c r="AW20" s="8" t="str">
        <f>ROUND(124.23*(1+AD6)*(1+AD5)+AD7,2)</f>
        <v>0</v>
      </c>
      <c r="AX20" s="8" t="str">
        <f>ROUND(129.61*(1+AD6)*(1+AD5)+AD7,2)</f>
        <v>0</v>
      </c>
      <c r="AY20" s="8" t="str">
        <f>ROUND(135.43*(1+AD6)*(1+AD5)+AD7,2)</f>
        <v>0</v>
      </c>
      <c r="AZ20" s="8" t="str">
        <f>ROUND(140.89*(1+AD6)*(1+AD5)+AD7,2)</f>
        <v>0</v>
      </c>
      <c r="BA20" s="8" t="str">
        <f>ROUND(146.6*(1+AD6)*(1+AD5)+AD7,2)</f>
        <v>0</v>
      </c>
      <c r="BB20" s="8" t="str">
        <f>ROUND(154.15*(1+AD6)*(1+AD5)+AD7,2)</f>
        <v>0</v>
      </c>
      <c r="BC20" s="8" t="str">
        <f>ROUND(162.65*(1+AD6)*(1+AD5)+AD7,2)</f>
        <v>0</v>
      </c>
      <c r="BD20" s="8" t="str">
        <f>ROUND(170.29*(1+AD6)*(1+AD5)+AD7,2)</f>
        <v>0</v>
      </c>
      <c r="BE20" t="str">
        <f>ROUND(175.77*(1+AD6)*(1+AD5)+AD7,2)</f>
        <v>0</v>
      </c>
      <c r="BF20" t="str">
        <f>ROUND(181.63*(1+AD6)*(1+AD5)+AD7,2)</f>
        <v>0</v>
      </c>
    </row>
    <row r="21" spans="1:58">
      <c r="A21" s="8"/>
      <c r="B21" s="10"/>
      <c r="C21" s="14">
        <v>1600</v>
      </c>
      <c r="D21" s="8">
        <v>47.82</v>
      </c>
      <c r="E21" s="8">
        <v>53.31</v>
      </c>
      <c r="F21" s="8">
        <v>58.74</v>
      </c>
      <c r="G21" s="8">
        <v>64.29</v>
      </c>
      <c r="H21" s="8">
        <v>70.66</v>
      </c>
      <c r="I21" s="8">
        <v>77.07</v>
      </c>
      <c r="J21" s="8">
        <v>83.53</v>
      </c>
      <c r="K21" s="8">
        <v>89.31</v>
      </c>
      <c r="L21" s="8">
        <v>95.56</v>
      </c>
      <c r="M21" s="8">
        <v>101.3</v>
      </c>
      <c r="N21" s="8">
        <v>107.05</v>
      </c>
      <c r="O21" s="8">
        <v>112.74</v>
      </c>
      <c r="P21" s="8">
        <v>119.07</v>
      </c>
      <c r="Q21" s="8">
        <v>126.05</v>
      </c>
      <c r="R21" s="8">
        <v>131.49</v>
      </c>
      <c r="S21" s="8">
        <v>137.45</v>
      </c>
      <c r="T21" s="8">
        <v>143</v>
      </c>
      <c r="U21" s="8">
        <v>148.82</v>
      </c>
      <c r="V21" s="8">
        <v>156.45</v>
      </c>
      <c r="W21" s="8">
        <v>165.07</v>
      </c>
      <c r="X21" s="8">
        <v>172.84</v>
      </c>
      <c r="Y21" s="8">
        <v>178.41</v>
      </c>
      <c r="Z21" s="8">
        <v>184.35</v>
      </c>
      <c r="AA21" s="8"/>
      <c r="AB21" s="8"/>
      <c r="AC21" s="8"/>
      <c r="AD21" s="8"/>
      <c r="AE21" s="8"/>
      <c r="AF21" s="8"/>
      <c r="AG21" s="9"/>
      <c r="AH21" s="10"/>
      <c r="AI21" s="14">
        <v>1600</v>
      </c>
      <c r="AJ21" s="8" t="str">
        <f>ROUND(47.82*(1+AD6)*(1+AD5)+AD7,2)</f>
        <v>0</v>
      </c>
      <c r="AK21" s="8" t="str">
        <f>ROUND(53.31*(1+AD6)*(1+AD5)+AD7,2)</f>
        <v>0</v>
      </c>
      <c r="AL21" s="8" t="str">
        <f>ROUND(58.74*(1+AD6)*(1+AD5)+AD7,2)</f>
        <v>0</v>
      </c>
      <c r="AM21" s="8" t="str">
        <f>ROUND(64.29*(1+AD6)*(1+AD5)+AD7,2)</f>
        <v>0</v>
      </c>
      <c r="AN21" s="8" t="str">
        <f>ROUND(70.66*(1+AD6)*(1+AD5)+AD7,2)</f>
        <v>0</v>
      </c>
      <c r="AO21" s="8" t="str">
        <f>ROUND(77.07*(1+AD6)*(1+AD5)+AD7,2)</f>
        <v>0</v>
      </c>
      <c r="AP21" s="8" t="str">
        <f>ROUND(83.53*(1+AD6)*(1+AD5)+AD7,2)</f>
        <v>0</v>
      </c>
      <c r="AQ21" s="8" t="str">
        <f>ROUND(89.31*(1+AD6)*(1+AD5)+AD7,2)</f>
        <v>0</v>
      </c>
      <c r="AR21" s="8" t="str">
        <f>ROUND(95.56*(1+AD6)*(1+AD5)+AD7,2)</f>
        <v>0</v>
      </c>
      <c r="AS21" s="8" t="str">
        <f>ROUND(101.3*(1+AD6)*(1+AD5)+AD7,2)</f>
        <v>0</v>
      </c>
      <c r="AT21" s="8" t="str">
        <f>ROUND(107.05*(1+AD6)*(1+AD5)+AD7,2)</f>
        <v>0</v>
      </c>
      <c r="AU21" s="8" t="str">
        <f>ROUND(112.74*(1+AD6)*(1+AD5)+AD7,2)</f>
        <v>0</v>
      </c>
      <c r="AV21" s="8" t="str">
        <f>ROUND(119.07*(1+AD6)*(1+AD5)+AD7,2)</f>
        <v>0</v>
      </c>
      <c r="AW21" s="8" t="str">
        <f>ROUND(126.05*(1+AD6)*(1+AD5)+AD7,2)</f>
        <v>0</v>
      </c>
      <c r="AX21" s="8" t="str">
        <f>ROUND(131.49*(1+AD6)*(1+AD5)+AD7,2)</f>
        <v>0</v>
      </c>
      <c r="AY21" s="8" t="str">
        <f>ROUND(137.45*(1+AD6)*(1+AD5)+AD7,2)</f>
        <v>0</v>
      </c>
      <c r="AZ21" s="8" t="str">
        <f>ROUND(143*(1+AD6)*(1+AD5)+AD7,2)</f>
        <v>0</v>
      </c>
      <c r="BA21" s="8" t="str">
        <f>ROUND(148.82*(1+AD6)*(1+AD5)+AD7,2)</f>
        <v>0</v>
      </c>
      <c r="BB21" s="8" t="str">
        <f>ROUND(156.45*(1+AD6)*(1+AD5)+AD7,2)</f>
        <v>0</v>
      </c>
      <c r="BC21" s="8" t="str">
        <f>ROUND(165.07*(1+AD6)*(1+AD5)+AD7,2)</f>
        <v>0</v>
      </c>
      <c r="BD21" s="8" t="str">
        <f>ROUND(172.84*(1+AD6)*(1+AD5)+AD7,2)</f>
        <v>0</v>
      </c>
      <c r="BE21" t="str">
        <f>ROUND(178.41*(1+AD6)*(1+AD5)+AD7,2)</f>
        <v>0</v>
      </c>
      <c r="BF21" t="str">
        <f>ROUND(184.35*(1+AD6)*(1+AD5)+AD7,2)</f>
        <v>0</v>
      </c>
    </row>
    <row r="22" spans="1:58">
      <c r="A22" s="8"/>
      <c r="B22" s="10"/>
      <c r="C22" s="14">
        <v>1700</v>
      </c>
      <c r="D22" s="8">
        <v>48.2</v>
      </c>
      <c r="E22" s="8">
        <v>53.77</v>
      </c>
      <c r="F22" s="8">
        <v>59.35</v>
      </c>
      <c r="G22" s="8">
        <v>64.99</v>
      </c>
      <c r="H22" s="8">
        <v>71.5</v>
      </c>
      <c r="I22" s="8">
        <v>77.99</v>
      </c>
      <c r="J22" s="8">
        <v>84.56</v>
      </c>
      <c r="K22" s="8">
        <v>90.46</v>
      </c>
      <c r="L22" s="8">
        <v>96.82</v>
      </c>
      <c r="M22" s="8">
        <v>102.66</v>
      </c>
      <c r="N22" s="8">
        <v>108.5</v>
      </c>
      <c r="O22" s="8">
        <v>114.29</v>
      </c>
      <c r="P22" s="8">
        <v>120.76</v>
      </c>
      <c r="Q22" s="8">
        <v>127.83</v>
      </c>
      <c r="R22" s="8">
        <v>133.41</v>
      </c>
      <c r="S22" s="8">
        <v>139.44</v>
      </c>
      <c r="T22" s="8">
        <v>145.14</v>
      </c>
      <c r="U22" s="8">
        <v>151.03</v>
      </c>
      <c r="V22" s="8">
        <v>158.78</v>
      </c>
      <c r="W22" s="8">
        <v>167.51</v>
      </c>
      <c r="X22" s="8">
        <v>175.39</v>
      </c>
      <c r="Y22" s="8">
        <v>181.07</v>
      </c>
      <c r="Z22" s="8">
        <v>187.09</v>
      </c>
      <c r="AA22" s="8"/>
      <c r="AB22" s="8"/>
      <c r="AC22" s="8"/>
      <c r="AD22" s="8"/>
      <c r="AE22" s="8"/>
      <c r="AF22" s="8"/>
      <c r="AG22" s="9"/>
      <c r="AH22" s="10"/>
      <c r="AI22" s="14">
        <v>1700</v>
      </c>
      <c r="AJ22" s="8" t="str">
        <f>ROUND(48.2*(1+AD6)*(1+AD5)+AD7,2)</f>
        <v>0</v>
      </c>
      <c r="AK22" s="8" t="str">
        <f>ROUND(53.77*(1+AD6)*(1+AD5)+AD7,2)</f>
        <v>0</v>
      </c>
      <c r="AL22" s="8" t="str">
        <f>ROUND(59.35*(1+AD6)*(1+AD5)+AD7,2)</f>
        <v>0</v>
      </c>
      <c r="AM22" s="8" t="str">
        <f>ROUND(64.99*(1+AD6)*(1+AD5)+AD7,2)</f>
        <v>0</v>
      </c>
      <c r="AN22" s="8" t="str">
        <f>ROUND(71.5*(1+AD6)*(1+AD5)+AD7,2)</f>
        <v>0</v>
      </c>
      <c r="AO22" s="8" t="str">
        <f>ROUND(77.99*(1+AD6)*(1+AD5)+AD7,2)</f>
        <v>0</v>
      </c>
      <c r="AP22" s="8" t="str">
        <f>ROUND(84.56*(1+AD6)*(1+AD5)+AD7,2)</f>
        <v>0</v>
      </c>
      <c r="AQ22" s="8" t="str">
        <f>ROUND(90.46*(1+AD6)*(1+AD5)+AD7,2)</f>
        <v>0</v>
      </c>
      <c r="AR22" s="8" t="str">
        <f>ROUND(96.82*(1+AD6)*(1+AD5)+AD7,2)</f>
        <v>0</v>
      </c>
      <c r="AS22" s="8" t="str">
        <f>ROUND(102.66*(1+AD6)*(1+AD5)+AD7,2)</f>
        <v>0</v>
      </c>
      <c r="AT22" s="8" t="str">
        <f>ROUND(108.5*(1+AD6)*(1+AD5)+AD7,2)</f>
        <v>0</v>
      </c>
      <c r="AU22" s="8" t="str">
        <f>ROUND(114.29*(1+AD6)*(1+AD5)+AD7,2)</f>
        <v>0</v>
      </c>
      <c r="AV22" s="8" t="str">
        <f>ROUND(120.76*(1+AD6)*(1+AD5)+AD7,2)</f>
        <v>0</v>
      </c>
      <c r="AW22" s="8" t="str">
        <f>ROUND(127.83*(1+AD6)*(1+AD5)+AD7,2)</f>
        <v>0</v>
      </c>
      <c r="AX22" s="8" t="str">
        <f>ROUND(133.41*(1+AD6)*(1+AD5)+AD7,2)</f>
        <v>0</v>
      </c>
      <c r="AY22" s="8" t="str">
        <f>ROUND(139.44*(1+AD6)*(1+AD5)+AD7,2)</f>
        <v>0</v>
      </c>
      <c r="AZ22" s="8" t="str">
        <f>ROUND(145.14*(1+AD6)*(1+AD5)+AD7,2)</f>
        <v>0</v>
      </c>
      <c r="BA22" s="8" t="str">
        <f>ROUND(151.03*(1+AD6)*(1+AD5)+AD7,2)</f>
        <v>0</v>
      </c>
      <c r="BB22" s="8" t="str">
        <f>ROUND(158.78*(1+AD6)*(1+AD5)+AD7,2)</f>
        <v>0</v>
      </c>
      <c r="BC22" s="8" t="str">
        <f>ROUND(167.51*(1+AD6)*(1+AD5)+AD7,2)</f>
        <v>0</v>
      </c>
      <c r="BD22" s="8" t="str">
        <f>ROUND(175.39*(1+AD6)*(1+AD5)+AD7,2)</f>
        <v>0</v>
      </c>
      <c r="BE22" t="str">
        <f>ROUND(181.07*(1+AD6)*(1+AD5)+AD7,2)</f>
        <v>0</v>
      </c>
      <c r="BF22" t="str">
        <f>ROUND(187.09*(1+AD6)*(1+AD5)+AD7,2)</f>
        <v>0</v>
      </c>
    </row>
    <row r="23" spans="1:58">
      <c r="A23" s="8"/>
      <c r="B23" s="10"/>
      <c r="C23" s="14">
        <v>1800</v>
      </c>
      <c r="D23" s="8">
        <v>48.57</v>
      </c>
      <c r="E23" s="8">
        <v>54.26</v>
      </c>
      <c r="F23" s="8">
        <v>59.95</v>
      </c>
      <c r="G23" s="8">
        <v>65.73</v>
      </c>
      <c r="H23" s="8">
        <v>72.27</v>
      </c>
      <c r="I23" s="8">
        <v>78.9</v>
      </c>
      <c r="J23" s="8">
        <v>85.59</v>
      </c>
      <c r="K23" s="8">
        <v>91.6</v>
      </c>
      <c r="L23" s="8">
        <v>98.07</v>
      </c>
      <c r="M23" s="8">
        <v>104.02</v>
      </c>
      <c r="N23" s="8">
        <v>109.97</v>
      </c>
      <c r="O23" s="8">
        <v>115.89</v>
      </c>
      <c r="P23" s="8">
        <v>122.42</v>
      </c>
      <c r="Q23" s="8">
        <v>129.63</v>
      </c>
      <c r="R23" s="8">
        <v>135.3</v>
      </c>
      <c r="S23" s="8">
        <v>141.45</v>
      </c>
      <c r="T23" s="8">
        <v>147.23</v>
      </c>
      <c r="U23" s="8">
        <v>153.26</v>
      </c>
      <c r="V23" s="8">
        <v>161.11</v>
      </c>
      <c r="W23" s="8">
        <v>169.94</v>
      </c>
      <c r="X23" s="8">
        <v>177.93</v>
      </c>
      <c r="Y23" s="8">
        <v>183.71</v>
      </c>
      <c r="Z23" s="8">
        <v>189.82</v>
      </c>
      <c r="AA23" s="8"/>
      <c r="AB23" s="8"/>
      <c r="AC23" s="8"/>
      <c r="AD23" s="8"/>
      <c r="AE23" s="8"/>
      <c r="AF23" s="8"/>
      <c r="AG23" s="9"/>
      <c r="AH23" s="10"/>
      <c r="AI23" s="14">
        <v>1800</v>
      </c>
      <c r="AJ23" s="8" t="str">
        <f>ROUND(48.57*(1+AD6)*(1+AD5)+AD7,2)</f>
        <v>0</v>
      </c>
      <c r="AK23" s="8" t="str">
        <f>ROUND(54.26*(1+AD6)*(1+AD5)+AD7,2)</f>
        <v>0</v>
      </c>
      <c r="AL23" s="8" t="str">
        <f>ROUND(59.95*(1+AD6)*(1+AD5)+AD7,2)</f>
        <v>0</v>
      </c>
      <c r="AM23" s="8" t="str">
        <f>ROUND(65.73*(1+AD6)*(1+AD5)+AD7,2)</f>
        <v>0</v>
      </c>
      <c r="AN23" s="8" t="str">
        <f>ROUND(72.27*(1+AD6)*(1+AD5)+AD7,2)</f>
        <v>0</v>
      </c>
      <c r="AO23" s="8" t="str">
        <f>ROUND(78.9*(1+AD6)*(1+AD5)+AD7,2)</f>
        <v>0</v>
      </c>
      <c r="AP23" s="8" t="str">
        <f>ROUND(85.59*(1+AD6)*(1+AD5)+AD7,2)</f>
        <v>0</v>
      </c>
      <c r="AQ23" s="8" t="str">
        <f>ROUND(91.6*(1+AD6)*(1+AD5)+AD7,2)</f>
        <v>0</v>
      </c>
      <c r="AR23" s="8" t="str">
        <f>ROUND(98.07*(1+AD6)*(1+AD5)+AD7,2)</f>
        <v>0</v>
      </c>
      <c r="AS23" s="8" t="str">
        <f>ROUND(104.02*(1+AD6)*(1+AD5)+AD7,2)</f>
        <v>0</v>
      </c>
      <c r="AT23" s="8" t="str">
        <f>ROUND(109.97*(1+AD6)*(1+AD5)+AD7,2)</f>
        <v>0</v>
      </c>
      <c r="AU23" s="8" t="str">
        <f>ROUND(115.89*(1+AD6)*(1+AD5)+AD7,2)</f>
        <v>0</v>
      </c>
      <c r="AV23" s="8" t="str">
        <f>ROUND(122.42*(1+AD6)*(1+AD5)+AD7,2)</f>
        <v>0</v>
      </c>
      <c r="AW23" s="8" t="str">
        <f>ROUND(129.63*(1+AD6)*(1+AD5)+AD7,2)</f>
        <v>0</v>
      </c>
      <c r="AX23" s="8" t="str">
        <f>ROUND(135.3*(1+AD6)*(1+AD5)+AD7,2)</f>
        <v>0</v>
      </c>
      <c r="AY23" s="8" t="str">
        <f>ROUND(141.45*(1+AD6)*(1+AD5)+AD7,2)</f>
        <v>0</v>
      </c>
      <c r="AZ23" s="8" t="str">
        <f>ROUND(147.23*(1+AD6)*(1+AD5)+AD7,2)</f>
        <v>0</v>
      </c>
      <c r="BA23" s="8" t="str">
        <f>ROUND(153.26*(1+AD6)*(1+AD5)+AD7,2)</f>
        <v>0</v>
      </c>
      <c r="BB23" s="8" t="str">
        <f>ROUND(161.11*(1+AD6)*(1+AD5)+AD7,2)</f>
        <v>0</v>
      </c>
      <c r="BC23" s="8" t="str">
        <f>ROUND(169.94*(1+AD6)*(1+AD5)+AD7,2)</f>
        <v>0</v>
      </c>
      <c r="BD23" s="8" t="str">
        <f>ROUND(177.93*(1+AD6)*(1+AD5)+AD7,2)</f>
        <v>0</v>
      </c>
      <c r="BE23" t="str">
        <f>ROUND(183.71*(1+AD6)*(1+AD5)+AD7,2)</f>
        <v>0</v>
      </c>
      <c r="BF23" t="str">
        <f>ROUND(189.82*(1+AD6)*(1+AD5)+AD7,2)</f>
        <v>0</v>
      </c>
    </row>
    <row r="24" spans="1:58">
      <c r="A24" s="8"/>
      <c r="B24" s="10"/>
      <c r="C24" s="14">
        <v>1900</v>
      </c>
      <c r="D24" s="8">
        <v>48.96</v>
      </c>
      <c r="E24" s="8">
        <v>54.78</v>
      </c>
      <c r="F24" s="8">
        <v>60.55</v>
      </c>
      <c r="G24" s="8">
        <v>66.41</v>
      </c>
      <c r="H24" s="8">
        <v>73.11</v>
      </c>
      <c r="I24" s="8">
        <v>79.84</v>
      </c>
      <c r="J24" s="8">
        <v>86.63</v>
      </c>
      <c r="K24" s="8">
        <v>92.71</v>
      </c>
      <c r="L24" s="8">
        <v>99.3</v>
      </c>
      <c r="M24" s="8">
        <v>105.37</v>
      </c>
      <c r="N24" s="8">
        <v>111.43</v>
      </c>
      <c r="O24" s="8">
        <v>117.45</v>
      </c>
      <c r="P24" s="8">
        <v>124.1</v>
      </c>
      <c r="Q24" s="8">
        <v>131.4</v>
      </c>
      <c r="R24" s="8">
        <v>137.19</v>
      </c>
      <c r="S24" s="8">
        <v>143.46</v>
      </c>
      <c r="T24" s="8">
        <v>149.37</v>
      </c>
      <c r="U24" s="8">
        <v>155.45</v>
      </c>
      <c r="V24" s="8">
        <v>163.44</v>
      </c>
      <c r="W24" s="8">
        <v>172.41</v>
      </c>
      <c r="X24" s="8">
        <v>180.47</v>
      </c>
      <c r="Y24" s="8">
        <v>186.37</v>
      </c>
      <c r="Z24" s="8">
        <v>192.58</v>
      </c>
      <c r="AA24" s="8"/>
      <c r="AB24" s="8"/>
      <c r="AC24" s="8"/>
      <c r="AD24" s="8"/>
      <c r="AE24" s="8"/>
      <c r="AF24" s="8"/>
      <c r="AG24" s="9"/>
      <c r="AH24" s="10"/>
      <c r="AI24" s="14">
        <v>1900</v>
      </c>
      <c r="AJ24" s="8" t="str">
        <f>ROUND(48.96*(1+AD6)*(1+AD5)+AD7,2)</f>
        <v>0</v>
      </c>
      <c r="AK24" s="8" t="str">
        <f>ROUND(54.78*(1+AD6)*(1+AD5)+AD7,2)</f>
        <v>0</v>
      </c>
      <c r="AL24" s="8" t="str">
        <f>ROUND(60.55*(1+AD6)*(1+AD5)+AD7,2)</f>
        <v>0</v>
      </c>
      <c r="AM24" s="8" t="str">
        <f>ROUND(66.41*(1+AD6)*(1+AD5)+AD7,2)</f>
        <v>0</v>
      </c>
      <c r="AN24" s="8" t="str">
        <f>ROUND(73.11*(1+AD6)*(1+AD5)+AD7,2)</f>
        <v>0</v>
      </c>
      <c r="AO24" s="8" t="str">
        <f>ROUND(79.84*(1+AD6)*(1+AD5)+AD7,2)</f>
        <v>0</v>
      </c>
      <c r="AP24" s="8" t="str">
        <f>ROUND(86.63*(1+AD6)*(1+AD5)+AD7,2)</f>
        <v>0</v>
      </c>
      <c r="AQ24" s="8" t="str">
        <f>ROUND(92.71*(1+AD6)*(1+AD5)+AD7,2)</f>
        <v>0</v>
      </c>
      <c r="AR24" s="8" t="str">
        <f>ROUND(99.3*(1+AD6)*(1+AD5)+AD7,2)</f>
        <v>0</v>
      </c>
      <c r="AS24" s="8" t="str">
        <f>ROUND(105.37*(1+AD6)*(1+AD5)+AD7,2)</f>
        <v>0</v>
      </c>
      <c r="AT24" s="8" t="str">
        <f>ROUND(111.43*(1+AD6)*(1+AD5)+AD7,2)</f>
        <v>0</v>
      </c>
      <c r="AU24" s="8" t="str">
        <f>ROUND(117.45*(1+AD6)*(1+AD5)+AD7,2)</f>
        <v>0</v>
      </c>
      <c r="AV24" s="8" t="str">
        <f>ROUND(124.1*(1+AD6)*(1+AD5)+AD7,2)</f>
        <v>0</v>
      </c>
      <c r="AW24" s="8" t="str">
        <f>ROUND(131.4*(1+AD6)*(1+AD5)+AD7,2)</f>
        <v>0</v>
      </c>
      <c r="AX24" s="8" t="str">
        <f>ROUND(137.19*(1+AD6)*(1+AD5)+AD7,2)</f>
        <v>0</v>
      </c>
      <c r="AY24" s="8" t="str">
        <f>ROUND(143.46*(1+AD6)*(1+AD5)+AD7,2)</f>
        <v>0</v>
      </c>
      <c r="AZ24" s="8" t="str">
        <f>ROUND(149.37*(1+AD6)*(1+AD5)+AD7,2)</f>
        <v>0</v>
      </c>
      <c r="BA24" s="8" t="str">
        <f>ROUND(155.45*(1+AD6)*(1+AD5)+AD7,2)</f>
        <v>0</v>
      </c>
      <c r="BB24" s="8" t="str">
        <f>ROUND(163.44*(1+AD6)*(1+AD5)+AD7,2)</f>
        <v>0</v>
      </c>
      <c r="BC24" s="8" t="str">
        <f>ROUND(172.41*(1+AD6)*(1+AD5)+AD7,2)</f>
        <v>0</v>
      </c>
      <c r="BD24" s="8" t="str">
        <f>ROUND(180.47*(1+AD6)*(1+AD5)+AD7,2)</f>
        <v>0</v>
      </c>
      <c r="BE24" t="str">
        <f>ROUND(186.37*(1+AD6)*(1+AD5)+AD7,2)</f>
        <v>0</v>
      </c>
      <c r="BF24" t="str">
        <f>ROUND(192.58*(1+AD6)*(1+AD5)+AD7,2)</f>
        <v>0</v>
      </c>
    </row>
    <row r="25" spans="1:58">
      <c r="A25" s="8"/>
      <c r="B25" s="10"/>
      <c r="C25" s="14">
        <v>2000</v>
      </c>
      <c r="D25" s="8">
        <v>49.33</v>
      </c>
      <c r="E25" s="8">
        <v>55.23</v>
      </c>
      <c r="F25" s="8">
        <v>61.15</v>
      </c>
      <c r="G25" s="8">
        <v>67.12</v>
      </c>
      <c r="H25" s="8">
        <v>73.94</v>
      </c>
      <c r="I25" s="8">
        <v>80.74</v>
      </c>
      <c r="J25" s="8">
        <v>87.64</v>
      </c>
      <c r="K25" s="8">
        <v>93.91</v>
      </c>
      <c r="L25" s="8">
        <v>100.56</v>
      </c>
      <c r="M25" s="8">
        <v>106.72</v>
      </c>
      <c r="N25" s="8">
        <v>112.9</v>
      </c>
      <c r="O25" s="8">
        <v>119.04</v>
      </c>
      <c r="P25" s="8">
        <v>125.79</v>
      </c>
      <c r="Q25" s="8">
        <v>133.2</v>
      </c>
      <c r="R25" s="8">
        <v>139.09</v>
      </c>
      <c r="S25" s="8">
        <v>145.45</v>
      </c>
      <c r="T25" s="8">
        <v>151.46</v>
      </c>
      <c r="U25" s="8">
        <v>157.69</v>
      </c>
      <c r="V25" s="8">
        <v>165.79</v>
      </c>
      <c r="W25" s="8">
        <v>174.82</v>
      </c>
      <c r="X25" s="8">
        <v>183.03</v>
      </c>
      <c r="Y25" s="8">
        <v>189.03</v>
      </c>
      <c r="Z25" s="8">
        <v>195.31</v>
      </c>
      <c r="AA25" s="8"/>
      <c r="AB25" s="8"/>
      <c r="AC25" s="8"/>
      <c r="AD25" s="8"/>
      <c r="AE25" s="8"/>
      <c r="AF25" s="8"/>
      <c r="AG25" s="9"/>
      <c r="AH25" s="10"/>
      <c r="AI25" s="14">
        <v>2000</v>
      </c>
      <c r="AJ25" s="8" t="str">
        <f>ROUND(49.33*(1+AD6)*(1+AD5)+AD7,2)</f>
        <v>0</v>
      </c>
      <c r="AK25" s="8" t="str">
        <f>ROUND(55.23*(1+AD6)*(1+AD5)+AD7,2)</f>
        <v>0</v>
      </c>
      <c r="AL25" s="8" t="str">
        <f>ROUND(61.15*(1+AD6)*(1+AD5)+AD7,2)</f>
        <v>0</v>
      </c>
      <c r="AM25" s="8" t="str">
        <f>ROUND(67.12*(1+AD6)*(1+AD5)+AD7,2)</f>
        <v>0</v>
      </c>
      <c r="AN25" s="8" t="str">
        <f>ROUND(73.94*(1+AD6)*(1+AD5)+AD7,2)</f>
        <v>0</v>
      </c>
      <c r="AO25" s="8" t="str">
        <f>ROUND(80.74*(1+AD6)*(1+AD5)+AD7,2)</f>
        <v>0</v>
      </c>
      <c r="AP25" s="8" t="str">
        <f>ROUND(87.64*(1+AD6)*(1+AD5)+AD7,2)</f>
        <v>0</v>
      </c>
      <c r="AQ25" s="8" t="str">
        <f>ROUND(93.91*(1+AD6)*(1+AD5)+AD7,2)</f>
        <v>0</v>
      </c>
      <c r="AR25" s="8" t="str">
        <f>ROUND(100.56*(1+AD6)*(1+AD5)+AD7,2)</f>
        <v>0</v>
      </c>
      <c r="AS25" s="8" t="str">
        <f>ROUND(106.72*(1+AD6)*(1+AD5)+AD7,2)</f>
        <v>0</v>
      </c>
      <c r="AT25" s="8" t="str">
        <f>ROUND(112.9*(1+AD6)*(1+AD5)+AD7,2)</f>
        <v>0</v>
      </c>
      <c r="AU25" s="8" t="str">
        <f>ROUND(119.04*(1+AD6)*(1+AD5)+AD7,2)</f>
        <v>0</v>
      </c>
      <c r="AV25" s="8" t="str">
        <f>ROUND(125.79*(1+AD6)*(1+AD5)+AD7,2)</f>
        <v>0</v>
      </c>
      <c r="AW25" s="8" t="str">
        <f>ROUND(133.2*(1+AD6)*(1+AD5)+AD7,2)</f>
        <v>0</v>
      </c>
      <c r="AX25" s="8" t="str">
        <f>ROUND(139.09*(1+AD6)*(1+AD5)+AD7,2)</f>
        <v>0</v>
      </c>
      <c r="AY25" s="8" t="str">
        <f>ROUND(145.45*(1+AD6)*(1+AD5)+AD7,2)</f>
        <v>0</v>
      </c>
      <c r="AZ25" s="8" t="str">
        <f>ROUND(151.46*(1+AD6)*(1+AD5)+AD7,2)</f>
        <v>0</v>
      </c>
      <c r="BA25" s="8" t="str">
        <f>ROUND(157.69*(1+AD6)*(1+AD5)+AD7,2)</f>
        <v>0</v>
      </c>
      <c r="BB25" s="8" t="str">
        <f>ROUND(165.79*(1+AD6)*(1+AD5)+AD7,2)</f>
        <v>0</v>
      </c>
      <c r="BC25" s="8" t="str">
        <f>ROUND(174.82*(1+AD6)*(1+AD5)+AD7,2)</f>
        <v>0</v>
      </c>
      <c r="BD25" s="8" t="str">
        <f>ROUND(183.03*(1+AD6)*(1+AD5)+AD7,2)</f>
        <v>0</v>
      </c>
      <c r="BE25" t="str">
        <f>ROUND(189.03*(1+AD6)*(1+AD5)+AD7,2)</f>
        <v>0</v>
      </c>
      <c r="BF25" t="str">
        <f>ROUND(195.31*(1+AD6)*(1+AD5)+AD7,2)</f>
        <v>0</v>
      </c>
    </row>
    <row r="26" spans="1:58">
      <c r="A26" s="8"/>
      <c r="B26" s="10"/>
      <c r="C26" s="14">
        <v>2100</v>
      </c>
      <c r="D26" s="8">
        <v>49.71</v>
      </c>
      <c r="E26" s="8">
        <v>55.75</v>
      </c>
      <c r="F26" s="8">
        <v>61.75</v>
      </c>
      <c r="G26" s="8">
        <v>67.81</v>
      </c>
      <c r="H26" s="8">
        <v>74.74</v>
      </c>
      <c r="I26" s="8">
        <v>81.67</v>
      </c>
      <c r="J26" s="8">
        <v>88.69</v>
      </c>
      <c r="K26" s="8">
        <v>95.04</v>
      </c>
      <c r="L26" s="8">
        <v>101.82</v>
      </c>
      <c r="M26" s="8">
        <v>108.06</v>
      </c>
      <c r="N26" s="8">
        <v>114.36</v>
      </c>
      <c r="O26" s="8">
        <v>120.59</v>
      </c>
      <c r="P26" s="8">
        <v>127.46</v>
      </c>
      <c r="Q26" s="8">
        <v>134.97</v>
      </c>
      <c r="R26" s="8">
        <v>141</v>
      </c>
      <c r="S26" s="8">
        <v>147.46</v>
      </c>
      <c r="T26" s="8">
        <v>153.56</v>
      </c>
      <c r="U26" s="8">
        <v>159.91</v>
      </c>
      <c r="V26" s="8">
        <v>168.1</v>
      </c>
      <c r="W26" s="8">
        <v>177.29</v>
      </c>
      <c r="X26" s="8">
        <v>185.58</v>
      </c>
      <c r="Y26" s="8">
        <v>191.69</v>
      </c>
      <c r="Z26" s="8">
        <v>198.03</v>
      </c>
      <c r="AA26" s="8"/>
      <c r="AB26" s="8"/>
      <c r="AC26" s="8"/>
      <c r="AD26" s="8"/>
      <c r="AE26" s="8"/>
      <c r="AF26" s="8"/>
      <c r="AG26" s="9"/>
      <c r="AH26" s="10"/>
      <c r="AI26" s="14">
        <v>2100</v>
      </c>
      <c r="AJ26" s="8" t="str">
        <f>ROUND(49.71*(1+AD6)*(1+AD5)+AD7,2)</f>
        <v>0</v>
      </c>
      <c r="AK26" s="8" t="str">
        <f>ROUND(55.75*(1+AD6)*(1+AD5)+AD7,2)</f>
        <v>0</v>
      </c>
      <c r="AL26" s="8" t="str">
        <f>ROUND(61.75*(1+AD6)*(1+AD5)+AD7,2)</f>
        <v>0</v>
      </c>
      <c r="AM26" s="8" t="str">
        <f>ROUND(67.81*(1+AD6)*(1+AD5)+AD7,2)</f>
        <v>0</v>
      </c>
      <c r="AN26" s="8" t="str">
        <f>ROUND(74.74*(1+AD6)*(1+AD5)+AD7,2)</f>
        <v>0</v>
      </c>
      <c r="AO26" s="8" t="str">
        <f>ROUND(81.67*(1+AD6)*(1+AD5)+AD7,2)</f>
        <v>0</v>
      </c>
      <c r="AP26" s="8" t="str">
        <f>ROUND(88.69*(1+AD6)*(1+AD5)+AD7,2)</f>
        <v>0</v>
      </c>
      <c r="AQ26" s="8" t="str">
        <f>ROUND(95.04*(1+AD6)*(1+AD5)+AD7,2)</f>
        <v>0</v>
      </c>
      <c r="AR26" s="8" t="str">
        <f>ROUND(101.82*(1+AD6)*(1+AD5)+AD7,2)</f>
        <v>0</v>
      </c>
      <c r="AS26" s="8" t="str">
        <f>ROUND(108.06*(1+AD6)*(1+AD5)+AD7,2)</f>
        <v>0</v>
      </c>
      <c r="AT26" s="8" t="str">
        <f>ROUND(114.36*(1+AD6)*(1+AD5)+AD7,2)</f>
        <v>0</v>
      </c>
      <c r="AU26" s="8" t="str">
        <f>ROUND(120.59*(1+AD6)*(1+AD5)+AD7,2)</f>
        <v>0</v>
      </c>
      <c r="AV26" s="8" t="str">
        <f>ROUND(127.46*(1+AD6)*(1+AD5)+AD7,2)</f>
        <v>0</v>
      </c>
      <c r="AW26" s="8" t="str">
        <f>ROUND(134.97*(1+AD6)*(1+AD5)+AD7,2)</f>
        <v>0</v>
      </c>
      <c r="AX26" s="8" t="str">
        <f>ROUND(141*(1+AD6)*(1+AD5)+AD7,2)</f>
        <v>0</v>
      </c>
      <c r="AY26" s="8" t="str">
        <f>ROUND(147.46*(1+AD6)*(1+AD5)+AD7,2)</f>
        <v>0</v>
      </c>
      <c r="AZ26" s="8" t="str">
        <f>ROUND(153.56*(1+AD6)*(1+AD5)+AD7,2)</f>
        <v>0</v>
      </c>
      <c r="BA26" s="8" t="str">
        <f>ROUND(159.91*(1+AD6)*(1+AD5)+AD7,2)</f>
        <v>0</v>
      </c>
      <c r="BB26" s="8" t="str">
        <f>ROUND(168.1*(1+AD6)*(1+AD5)+AD7,2)</f>
        <v>0</v>
      </c>
      <c r="BC26" s="8" t="str">
        <f>ROUND(177.29*(1+AD6)*(1+AD5)+AD7,2)</f>
        <v>0</v>
      </c>
      <c r="BD26" s="8" t="str">
        <f>ROUND(185.58*(1+AD6)*(1+AD5)+AD7,2)</f>
        <v>0</v>
      </c>
      <c r="BE26" t="str">
        <f>ROUND(191.69*(1+AD6)*(1+AD5)+AD7,2)</f>
        <v>0</v>
      </c>
      <c r="BF26" t="str">
        <f>ROUND(198.03*(1+AD6)*(1+AD5)+AD7,2)</f>
        <v>0</v>
      </c>
    </row>
    <row r="27" spans="1:58">
      <c r="A27" s="8"/>
      <c r="B27" s="10"/>
      <c r="C27" s="14">
        <v>2200</v>
      </c>
      <c r="D27" s="8">
        <v>50.1</v>
      </c>
      <c r="E27" s="8">
        <v>56.24</v>
      </c>
      <c r="F27" s="8">
        <v>62.33</v>
      </c>
      <c r="G27" s="8">
        <v>68.54</v>
      </c>
      <c r="H27" s="8">
        <v>75.55</v>
      </c>
      <c r="I27" s="8">
        <v>82.6</v>
      </c>
      <c r="J27" s="8">
        <v>89.83</v>
      </c>
      <c r="K27" s="8">
        <v>96.17</v>
      </c>
      <c r="L27" s="8">
        <v>103.05</v>
      </c>
      <c r="M27" s="8">
        <v>109.43</v>
      </c>
      <c r="N27" s="8">
        <v>115.81</v>
      </c>
      <c r="O27" s="8">
        <v>122.15</v>
      </c>
      <c r="P27" s="8">
        <v>129.15</v>
      </c>
      <c r="Q27" s="8">
        <v>136.77</v>
      </c>
      <c r="R27" s="8">
        <v>142.89</v>
      </c>
      <c r="S27" s="8">
        <v>149.49</v>
      </c>
      <c r="T27" s="8">
        <v>155.69</v>
      </c>
      <c r="U27" s="8">
        <v>162.17</v>
      </c>
      <c r="V27" s="8">
        <v>170.43</v>
      </c>
      <c r="W27" s="8">
        <v>179.71</v>
      </c>
      <c r="X27" s="8">
        <v>188.13</v>
      </c>
      <c r="Y27" s="8">
        <v>194.36</v>
      </c>
      <c r="Z27" s="8">
        <v>200.78</v>
      </c>
      <c r="AA27" s="8"/>
      <c r="AB27" s="8"/>
      <c r="AC27" s="8"/>
      <c r="AD27" s="8"/>
      <c r="AE27" s="8"/>
      <c r="AF27" s="8"/>
      <c r="AG27" s="9"/>
      <c r="AH27" s="10"/>
      <c r="AI27" s="14">
        <v>2200</v>
      </c>
      <c r="AJ27" s="8" t="str">
        <f>ROUND(50.1*(1+AD6)*(1+AD5)+AD7,2)</f>
        <v>0</v>
      </c>
      <c r="AK27" s="8" t="str">
        <f>ROUND(56.24*(1+AD6)*(1+AD5)+AD7,2)</f>
        <v>0</v>
      </c>
      <c r="AL27" s="8" t="str">
        <f>ROUND(62.33*(1+AD6)*(1+AD5)+AD7,2)</f>
        <v>0</v>
      </c>
      <c r="AM27" s="8" t="str">
        <f>ROUND(68.54*(1+AD6)*(1+AD5)+AD7,2)</f>
        <v>0</v>
      </c>
      <c r="AN27" s="8" t="str">
        <f>ROUND(75.55*(1+AD6)*(1+AD5)+AD7,2)</f>
        <v>0</v>
      </c>
      <c r="AO27" s="8" t="str">
        <f>ROUND(82.6*(1+AD6)*(1+AD5)+AD7,2)</f>
        <v>0</v>
      </c>
      <c r="AP27" s="8" t="str">
        <f>ROUND(89.83*(1+AD6)*(1+AD5)+AD7,2)</f>
        <v>0</v>
      </c>
      <c r="AQ27" s="8" t="str">
        <f>ROUND(96.17*(1+AD6)*(1+AD5)+AD7,2)</f>
        <v>0</v>
      </c>
      <c r="AR27" s="8" t="str">
        <f>ROUND(103.05*(1+AD6)*(1+AD5)+AD7,2)</f>
        <v>0</v>
      </c>
      <c r="AS27" s="8" t="str">
        <f>ROUND(109.43*(1+AD6)*(1+AD5)+AD7,2)</f>
        <v>0</v>
      </c>
      <c r="AT27" s="8" t="str">
        <f>ROUND(115.81*(1+AD6)*(1+AD5)+AD7,2)</f>
        <v>0</v>
      </c>
      <c r="AU27" s="8" t="str">
        <f>ROUND(122.15*(1+AD6)*(1+AD5)+AD7,2)</f>
        <v>0</v>
      </c>
      <c r="AV27" s="8" t="str">
        <f>ROUND(129.15*(1+AD6)*(1+AD5)+AD7,2)</f>
        <v>0</v>
      </c>
      <c r="AW27" s="8" t="str">
        <f>ROUND(136.77*(1+AD6)*(1+AD5)+AD7,2)</f>
        <v>0</v>
      </c>
      <c r="AX27" s="8" t="str">
        <f>ROUND(142.89*(1+AD6)*(1+AD5)+AD7,2)</f>
        <v>0</v>
      </c>
      <c r="AY27" s="8" t="str">
        <f>ROUND(149.49*(1+AD6)*(1+AD5)+AD7,2)</f>
        <v>0</v>
      </c>
      <c r="AZ27" s="8" t="str">
        <f>ROUND(155.69*(1+AD6)*(1+AD5)+AD7,2)</f>
        <v>0</v>
      </c>
      <c r="BA27" s="8" t="str">
        <f>ROUND(162.17*(1+AD6)*(1+AD5)+AD7,2)</f>
        <v>0</v>
      </c>
      <c r="BB27" s="8" t="str">
        <f>ROUND(170.43*(1+AD6)*(1+AD5)+AD7,2)</f>
        <v>0</v>
      </c>
      <c r="BC27" s="8" t="str">
        <f>ROUND(179.71*(1+AD6)*(1+AD5)+AD7,2)</f>
        <v>0</v>
      </c>
      <c r="BD27" s="8" t="str">
        <f>ROUND(188.13*(1+AD6)*(1+AD5)+AD7,2)</f>
        <v>0</v>
      </c>
      <c r="BE27" t="str">
        <f>ROUND(194.36*(1+AD6)*(1+AD5)+AD7,2)</f>
        <v>0</v>
      </c>
      <c r="BF27" t="str">
        <f>ROUND(200.78*(1+AD6)*(1+AD5)+AD7,2)</f>
        <v>0</v>
      </c>
    </row>
    <row r="28" spans="1:58">
      <c r="A28" s="8"/>
      <c r="B28" s="10"/>
      <c r="C28" s="14">
        <v>2300</v>
      </c>
      <c r="D28" s="8">
        <v>50.49</v>
      </c>
      <c r="E28" s="8">
        <v>56.75</v>
      </c>
      <c r="F28" s="8">
        <v>62.94</v>
      </c>
      <c r="G28" s="8">
        <v>69.23</v>
      </c>
      <c r="H28" s="8">
        <v>76.36</v>
      </c>
      <c r="I28" s="8">
        <v>83.51</v>
      </c>
      <c r="J28" s="8">
        <v>90.75</v>
      </c>
      <c r="K28" s="8">
        <v>97.31</v>
      </c>
      <c r="L28" s="8">
        <v>104.31</v>
      </c>
      <c r="M28" s="8">
        <v>110.78</v>
      </c>
      <c r="N28" s="8">
        <v>116.13</v>
      </c>
      <c r="O28" s="8">
        <v>123.73</v>
      </c>
      <c r="P28" s="8">
        <v>130.83</v>
      </c>
      <c r="Q28" s="8">
        <v>138.54</v>
      </c>
      <c r="R28" s="8">
        <v>144.78</v>
      </c>
      <c r="S28" s="8">
        <v>151.48</v>
      </c>
      <c r="T28" s="8">
        <v>157.77</v>
      </c>
      <c r="U28" s="8">
        <v>164.38</v>
      </c>
      <c r="V28" s="8">
        <v>172.78</v>
      </c>
      <c r="W28" s="8">
        <v>182.13</v>
      </c>
      <c r="X28" s="8">
        <v>190.66</v>
      </c>
      <c r="Y28" s="8">
        <v>197</v>
      </c>
      <c r="Z28" s="8">
        <v>203.49</v>
      </c>
      <c r="AA28" s="8"/>
      <c r="AB28" s="8"/>
      <c r="AC28" s="8"/>
      <c r="AD28" s="8"/>
      <c r="AE28" s="8"/>
      <c r="AF28" s="8"/>
      <c r="AG28" s="9"/>
      <c r="AH28" s="10"/>
      <c r="AI28" s="14">
        <v>2300</v>
      </c>
      <c r="AJ28" s="8" t="str">
        <f>ROUND(50.49*(1+AD6)*(1+AD5)+AD7,2)</f>
        <v>0</v>
      </c>
      <c r="AK28" s="8" t="str">
        <f>ROUND(56.75*(1+AD6)*(1+AD5)+AD7,2)</f>
        <v>0</v>
      </c>
      <c r="AL28" s="8" t="str">
        <f>ROUND(62.94*(1+AD6)*(1+AD5)+AD7,2)</f>
        <v>0</v>
      </c>
      <c r="AM28" s="8" t="str">
        <f>ROUND(69.23*(1+AD6)*(1+AD5)+AD7,2)</f>
        <v>0</v>
      </c>
      <c r="AN28" s="8" t="str">
        <f>ROUND(76.36*(1+AD6)*(1+AD5)+AD7,2)</f>
        <v>0</v>
      </c>
      <c r="AO28" s="8" t="str">
        <f>ROUND(83.51*(1+AD6)*(1+AD5)+AD7,2)</f>
        <v>0</v>
      </c>
      <c r="AP28" s="8" t="str">
        <f>ROUND(90.75*(1+AD6)*(1+AD5)+AD7,2)</f>
        <v>0</v>
      </c>
      <c r="AQ28" s="8" t="str">
        <f>ROUND(97.31*(1+AD6)*(1+AD5)+AD7,2)</f>
        <v>0</v>
      </c>
      <c r="AR28" s="8" t="str">
        <f>ROUND(104.31*(1+AD6)*(1+AD5)+AD7,2)</f>
        <v>0</v>
      </c>
      <c r="AS28" s="8" t="str">
        <f>ROUND(110.78*(1+AD6)*(1+AD5)+AD7,2)</f>
        <v>0</v>
      </c>
      <c r="AT28" s="8" t="str">
        <f>ROUND(116.13*(1+AD6)*(1+AD5)+AD7,2)</f>
        <v>0</v>
      </c>
      <c r="AU28" s="8" t="str">
        <f>ROUND(123.73*(1+AD6)*(1+AD5)+AD7,2)</f>
        <v>0</v>
      </c>
      <c r="AV28" s="8" t="str">
        <f>ROUND(130.83*(1+AD6)*(1+AD5)+AD7,2)</f>
        <v>0</v>
      </c>
      <c r="AW28" s="8" t="str">
        <f>ROUND(138.54*(1+AD6)*(1+AD5)+AD7,2)</f>
        <v>0</v>
      </c>
      <c r="AX28" s="8" t="str">
        <f>ROUND(144.78*(1+AD6)*(1+AD5)+AD7,2)</f>
        <v>0</v>
      </c>
      <c r="AY28" s="8" t="str">
        <f>ROUND(151.48*(1+AD6)*(1+AD5)+AD7,2)</f>
        <v>0</v>
      </c>
      <c r="AZ28" s="8" t="str">
        <f>ROUND(157.77*(1+AD6)*(1+AD5)+AD7,2)</f>
        <v>0</v>
      </c>
      <c r="BA28" s="8" t="str">
        <f>ROUND(164.38*(1+AD6)*(1+AD5)+AD7,2)</f>
        <v>0</v>
      </c>
      <c r="BB28" s="8" t="str">
        <f>ROUND(172.78*(1+AD6)*(1+AD5)+AD7,2)</f>
        <v>0</v>
      </c>
      <c r="BC28" s="8" t="str">
        <f>ROUND(182.13*(1+AD6)*(1+AD5)+AD7,2)</f>
        <v>0</v>
      </c>
      <c r="BD28" s="8" t="str">
        <f>ROUND(190.66*(1+AD6)*(1+AD5)+AD7,2)</f>
        <v>0</v>
      </c>
      <c r="BE28" t="str">
        <f>ROUND(197*(1+AD6)*(1+AD5)+AD7,2)</f>
        <v>0</v>
      </c>
      <c r="BF28" t="str">
        <f>ROUND(203.49*(1+AD6)*(1+AD5)+AD7,2)</f>
        <v>0</v>
      </c>
    </row>
    <row r="29" spans="1:58">
      <c r="A29" s="8"/>
      <c r="B29" s="10"/>
      <c r="C29" s="14">
        <v>2400</v>
      </c>
      <c r="D29" s="8">
        <v>50.88</v>
      </c>
      <c r="E29" s="8">
        <v>57.21</v>
      </c>
      <c r="F29" s="8">
        <v>63.52</v>
      </c>
      <c r="G29" s="8">
        <v>69.94</v>
      </c>
      <c r="H29" s="8">
        <v>77.17</v>
      </c>
      <c r="I29" s="8">
        <v>84.42</v>
      </c>
      <c r="J29" s="8">
        <v>91.79</v>
      </c>
      <c r="K29" s="8">
        <v>98.46</v>
      </c>
      <c r="L29" s="8">
        <v>105.55</v>
      </c>
      <c r="M29" s="8">
        <v>112.14</v>
      </c>
      <c r="N29" s="8">
        <v>118.76</v>
      </c>
      <c r="O29" s="8">
        <v>125.31</v>
      </c>
      <c r="P29" s="8">
        <v>132.5</v>
      </c>
      <c r="Q29" s="8">
        <v>140.37</v>
      </c>
      <c r="R29" s="8">
        <v>146.7</v>
      </c>
      <c r="S29" s="8">
        <v>153.48</v>
      </c>
      <c r="T29" s="8">
        <v>159.91</v>
      </c>
      <c r="U29" s="8">
        <v>166.6</v>
      </c>
      <c r="V29" s="8">
        <v>175.1</v>
      </c>
      <c r="W29" s="8">
        <v>184.59</v>
      </c>
      <c r="X29" s="8">
        <v>193.21</v>
      </c>
      <c r="Y29" s="8">
        <v>199.67</v>
      </c>
      <c r="Z29" s="8">
        <v>206.23</v>
      </c>
      <c r="AA29" s="8"/>
      <c r="AB29" s="8"/>
      <c r="AC29" s="8"/>
      <c r="AD29" s="8"/>
      <c r="AE29" s="8"/>
      <c r="AF29" s="8"/>
      <c r="AG29" s="9"/>
      <c r="AH29" s="10"/>
      <c r="AI29" s="14">
        <v>2400</v>
      </c>
      <c r="AJ29" s="8" t="str">
        <f>ROUND(50.88*(1+AD6)*(1+AD5)+AD7,2)</f>
        <v>0</v>
      </c>
      <c r="AK29" s="8" t="str">
        <f>ROUND(57.21*(1+AD6)*(1+AD5)+AD7,2)</f>
        <v>0</v>
      </c>
      <c r="AL29" s="8" t="str">
        <f>ROUND(63.52*(1+AD6)*(1+AD5)+AD7,2)</f>
        <v>0</v>
      </c>
      <c r="AM29" s="8" t="str">
        <f>ROUND(69.94*(1+AD6)*(1+AD5)+AD7,2)</f>
        <v>0</v>
      </c>
      <c r="AN29" s="8" t="str">
        <f>ROUND(77.17*(1+AD6)*(1+AD5)+AD7,2)</f>
        <v>0</v>
      </c>
      <c r="AO29" s="8" t="str">
        <f>ROUND(84.42*(1+AD6)*(1+AD5)+AD7,2)</f>
        <v>0</v>
      </c>
      <c r="AP29" s="8" t="str">
        <f>ROUND(91.79*(1+AD6)*(1+AD5)+AD7,2)</f>
        <v>0</v>
      </c>
      <c r="AQ29" s="8" t="str">
        <f>ROUND(98.46*(1+AD6)*(1+AD5)+AD7,2)</f>
        <v>0</v>
      </c>
      <c r="AR29" s="8" t="str">
        <f>ROUND(105.55*(1+AD6)*(1+AD5)+AD7,2)</f>
        <v>0</v>
      </c>
      <c r="AS29" s="8" t="str">
        <f>ROUND(112.14*(1+AD6)*(1+AD5)+AD7,2)</f>
        <v>0</v>
      </c>
      <c r="AT29" s="8" t="str">
        <f>ROUND(118.76*(1+AD6)*(1+AD5)+AD7,2)</f>
        <v>0</v>
      </c>
      <c r="AU29" s="8" t="str">
        <f>ROUND(125.31*(1+AD6)*(1+AD5)+AD7,2)</f>
        <v>0</v>
      </c>
      <c r="AV29" s="8" t="str">
        <f>ROUND(132.5*(1+AD6)*(1+AD5)+AD7,2)</f>
        <v>0</v>
      </c>
      <c r="AW29" s="8" t="str">
        <f>ROUND(140.37*(1+AD6)*(1+AD5)+AD7,2)</f>
        <v>0</v>
      </c>
      <c r="AX29" s="8" t="str">
        <f>ROUND(146.7*(1+AD6)*(1+AD5)+AD7,2)</f>
        <v>0</v>
      </c>
      <c r="AY29" s="8" t="str">
        <f>ROUND(153.48*(1+AD6)*(1+AD5)+AD7,2)</f>
        <v>0</v>
      </c>
      <c r="AZ29" s="8" t="str">
        <f>ROUND(159.91*(1+AD6)*(1+AD5)+AD7,2)</f>
        <v>0</v>
      </c>
      <c r="BA29" s="8" t="str">
        <f>ROUND(166.6*(1+AD6)*(1+AD5)+AD7,2)</f>
        <v>0</v>
      </c>
      <c r="BB29" s="8" t="str">
        <f>ROUND(175.1*(1+AD6)*(1+AD5)+AD7,2)</f>
        <v>0</v>
      </c>
      <c r="BC29" s="8" t="str">
        <f>ROUND(184.59*(1+AD6)*(1+AD5)+AD7,2)</f>
        <v>0</v>
      </c>
      <c r="BD29" s="8" t="str">
        <f>ROUND(193.21*(1+AD6)*(1+AD5)+AD7,2)</f>
        <v>0</v>
      </c>
      <c r="BE29" t="str">
        <f>ROUND(199.67*(1+AD6)*(1+AD5)+AD7,2)</f>
        <v>0</v>
      </c>
      <c r="BF29" t="str">
        <f>ROUND(206.23*(1+AD6)*(1+AD5)+AD7,2)</f>
        <v>0</v>
      </c>
    </row>
    <row r="30" spans="1:58">
      <c r="A30" s="8"/>
      <c r="B30" s="10"/>
      <c r="C30" s="14">
        <v>2500</v>
      </c>
      <c r="D30" s="8">
        <v>52.12</v>
      </c>
      <c r="E30" s="8">
        <v>58.66</v>
      </c>
      <c r="F30" s="8">
        <v>65.16</v>
      </c>
      <c r="G30" s="8">
        <v>71.74</v>
      </c>
      <c r="H30" s="8">
        <v>79.15</v>
      </c>
      <c r="I30" s="8">
        <v>86.59</v>
      </c>
      <c r="J30" s="8">
        <v>94.1</v>
      </c>
      <c r="K30" s="8">
        <v>100.94</v>
      </c>
      <c r="L30" s="8">
        <v>108.24</v>
      </c>
      <c r="M30" s="8">
        <v>115</v>
      </c>
      <c r="N30" s="8">
        <v>121.8</v>
      </c>
      <c r="O30" s="8">
        <v>128.52</v>
      </c>
      <c r="P30" s="8">
        <v>135.9</v>
      </c>
      <c r="Q30" s="8">
        <v>143.94</v>
      </c>
      <c r="R30" s="8">
        <v>150.46</v>
      </c>
      <c r="S30" s="8">
        <v>157.42</v>
      </c>
      <c r="T30" s="8">
        <v>164.04</v>
      </c>
      <c r="U30" s="8">
        <v>170.89</v>
      </c>
      <c r="V30" s="8">
        <v>179.6</v>
      </c>
      <c r="W30" s="8">
        <v>189.27</v>
      </c>
      <c r="X30" s="8">
        <v>198.06</v>
      </c>
      <c r="Y30" s="8">
        <v>204.67</v>
      </c>
      <c r="Z30" s="8">
        <v>211.42</v>
      </c>
      <c r="AA30" s="8"/>
      <c r="AB30" s="8"/>
      <c r="AC30" s="8"/>
      <c r="AD30" s="8"/>
      <c r="AE30" s="8"/>
      <c r="AF30" s="8"/>
      <c r="AG30" s="9"/>
      <c r="AH30" s="10"/>
      <c r="AI30" s="14">
        <v>2500</v>
      </c>
      <c r="AJ30" s="8" t="str">
        <f>ROUND(52.12*(1+AD6)*(1+AD5)+AD7,2)</f>
        <v>0</v>
      </c>
      <c r="AK30" s="8" t="str">
        <f>ROUND(58.66*(1+AD6)*(1+AD5)+AD7,2)</f>
        <v>0</v>
      </c>
      <c r="AL30" s="8" t="str">
        <f>ROUND(65.16*(1+AD6)*(1+AD5)+AD7,2)</f>
        <v>0</v>
      </c>
      <c r="AM30" s="8" t="str">
        <f>ROUND(71.74*(1+AD6)*(1+AD5)+AD7,2)</f>
        <v>0</v>
      </c>
      <c r="AN30" s="8" t="str">
        <f>ROUND(79.15*(1+AD6)*(1+AD5)+AD7,2)</f>
        <v>0</v>
      </c>
      <c r="AO30" s="8" t="str">
        <f>ROUND(86.59*(1+AD6)*(1+AD5)+AD7,2)</f>
        <v>0</v>
      </c>
      <c r="AP30" s="8" t="str">
        <f>ROUND(94.1*(1+AD6)*(1+AD5)+AD7,2)</f>
        <v>0</v>
      </c>
      <c r="AQ30" s="8" t="str">
        <f>ROUND(100.94*(1+AD6)*(1+AD5)+AD7,2)</f>
        <v>0</v>
      </c>
      <c r="AR30" s="8" t="str">
        <f>ROUND(108.24*(1+AD6)*(1+AD5)+AD7,2)</f>
        <v>0</v>
      </c>
      <c r="AS30" s="8" t="str">
        <f>ROUND(115*(1+AD6)*(1+AD5)+AD7,2)</f>
        <v>0</v>
      </c>
      <c r="AT30" s="8" t="str">
        <f>ROUND(121.8*(1+AD6)*(1+AD5)+AD7,2)</f>
        <v>0</v>
      </c>
      <c r="AU30" s="8" t="str">
        <f>ROUND(128.52*(1+AD6)*(1+AD5)+AD7,2)</f>
        <v>0</v>
      </c>
      <c r="AV30" s="8" t="str">
        <f>ROUND(135.9*(1+AD6)*(1+AD5)+AD7,2)</f>
        <v>0</v>
      </c>
      <c r="AW30" s="8" t="str">
        <f>ROUND(143.94*(1+AD6)*(1+AD5)+AD7,2)</f>
        <v>0</v>
      </c>
      <c r="AX30" s="8" t="str">
        <f>ROUND(150.46*(1+AD6)*(1+AD5)+AD7,2)</f>
        <v>0</v>
      </c>
      <c r="AY30" s="8" t="str">
        <f>ROUND(157.42*(1+AD6)*(1+AD5)+AD7,2)</f>
        <v>0</v>
      </c>
      <c r="AZ30" s="8" t="str">
        <f>ROUND(164.04*(1+AD6)*(1+AD5)+AD7,2)</f>
        <v>0</v>
      </c>
      <c r="BA30" s="8" t="str">
        <f>ROUND(170.89*(1+AD6)*(1+AD5)+AD7,2)</f>
        <v>0</v>
      </c>
      <c r="BB30" s="8" t="str">
        <f>ROUND(179.6*(1+AD6)*(1+AD5)+AD7,2)</f>
        <v>0</v>
      </c>
      <c r="BC30" s="8" t="str">
        <f>ROUND(189.27*(1+AD6)*(1+AD5)+AD7,2)</f>
        <v>0</v>
      </c>
      <c r="BD30" s="8" t="str">
        <f>ROUND(198.06*(1+AD6)*(1+AD5)+AD7,2)</f>
        <v>0</v>
      </c>
      <c r="BE30" t="str">
        <f>ROUND(204.67*(1+AD6)*(1+AD5)+AD7,2)</f>
        <v>0</v>
      </c>
      <c r="BF30" t="str">
        <f>ROUND(211.42*(1+AD6)*(1+AD5)+AD7,2)</f>
        <v>0</v>
      </c>
    </row>
    <row r="31" spans="1:58">
      <c r="A31" s="8"/>
      <c r="B31" s="10"/>
      <c r="C31" s="14">
        <v>2600</v>
      </c>
      <c r="D31" s="8">
        <v>54.73</v>
      </c>
      <c r="E31" s="8">
        <v>61.59</v>
      </c>
      <c r="F31" s="8">
        <v>68.42</v>
      </c>
      <c r="G31" s="8">
        <v>75.33</v>
      </c>
      <c r="H31" s="8">
        <v>83.11</v>
      </c>
      <c r="I31" s="8">
        <v>90.92</v>
      </c>
      <c r="J31" s="8">
        <v>98.81</v>
      </c>
      <c r="K31" s="8">
        <v>105.98</v>
      </c>
      <c r="L31" s="8">
        <v>113.65</v>
      </c>
      <c r="M31" s="8">
        <v>120.76</v>
      </c>
      <c r="N31" s="8">
        <v>127.89</v>
      </c>
      <c r="O31" s="8">
        <v>134.95</v>
      </c>
      <c r="P31" s="8">
        <v>142.69</v>
      </c>
      <c r="Q31" s="8">
        <v>151.14</v>
      </c>
      <c r="R31" s="8">
        <v>157.98</v>
      </c>
      <c r="S31" s="8">
        <v>165.3</v>
      </c>
      <c r="T31" s="8">
        <v>172.24</v>
      </c>
      <c r="U31" s="8">
        <v>179.44</v>
      </c>
      <c r="V31" s="8">
        <v>188.58</v>
      </c>
      <c r="W31" s="8">
        <v>198.73</v>
      </c>
      <c r="X31" s="8">
        <v>207.96</v>
      </c>
      <c r="Y31" s="8">
        <v>214.9</v>
      </c>
      <c r="Z31" s="8">
        <v>221.99</v>
      </c>
      <c r="AA31" s="8"/>
      <c r="AB31" s="8"/>
      <c r="AC31" s="8"/>
      <c r="AD31" s="8"/>
      <c r="AE31" s="8"/>
      <c r="AF31" s="8"/>
      <c r="AG31" s="9"/>
      <c r="AH31" s="10"/>
      <c r="AI31" s="14">
        <v>2600</v>
      </c>
      <c r="AJ31" s="8" t="str">
        <f>ROUND(54.73*(1+AD6)*(1+AD5)+AD7,2)</f>
        <v>0</v>
      </c>
      <c r="AK31" s="8" t="str">
        <f>ROUND(61.59*(1+AD6)*(1+AD5)+AD7,2)</f>
        <v>0</v>
      </c>
      <c r="AL31" s="8" t="str">
        <f>ROUND(68.42*(1+AD6)*(1+AD5)+AD7,2)</f>
        <v>0</v>
      </c>
      <c r="AM31" s="8" t="str">
        <f>ROUND(75.33*(1+AD6)*(1+AD5)+AD7,2)</f>
        <v>0</v>
      </c>
      <c r="AN31" s="8" t="str">
        <f>ROUND(83.11*(1+AD6)*(1+AD5)+AD7,2)</f>
        <v>0</v>
      </c>
      <c r="AO31" s="8" t="str">
        <f>ROUND(90.92*(1+AD6)*(1+AD5)+AD7,2)</f>
        <v>0</v>
      </c>
      <c r="AP31" s="8" t="str">
        <f>ROUND(98.81*(1+AD6)*(1+AD5)+AD7,2)</f>
        <v>0</v>
      </c>
      <c r="AQ31" s="8" t="str">
        <f>ROUND(105.98*(1+AD6)*(1+AD5)+AD7,2)</f>
        <v>0</v>
      </c>
      <c r="AR31" s="8" t="str">
        <f>ROUND(113.65*(1+AD6)*(1+AD5)+AD7,2)</f>
        <v>0</v>
      </c>
      <c r="AS31" s="8" t="str">
        <f>ROUND(120.76*(1+AD6)*(1+AD5)+AD7,2)</f>
        <v>0</v>
      </c>
      <c r="AT31" s="8" t="str">
        <f>ROUND(127.89*(1+AD6)*(1+AD5)+AD7,2)</f>
        <v>0</v>
      </c>
      <c r="AU31" s="8" t="str">
        <f>ROUND(134.95*(1+AD6)*(1+AD5)+AD7,2)</f>
        <v>0</v>
      </c>
      <c r="AV31" s="8" t="str">
        <f>ROUND(142.69*(1+AD6)*(1+AD5)+AD7,2)</f>
        <v>0</v>
      </c>
      <c r="AW31" s="8" t="str">
        <f>ROUND(151.14*(1+AD6)*(1+AD5)+AD7,2)</f>
        <v>0</v>
      </c>
      <c r="AX31" s="8" t="str">
        <f>ROUND(157.98*(1+AD6)*(1+AD5)+AD7,2)</f>
        <v>0</v>
      </c>
      <c r="AY31" s="8" t="str">
        <f>ROUND(165.3*(1+AD6)*(1+AD5)+AD7,2)</f>
        <v>0</v>
      </c>
      <c r="AZ31" s="8" t="str">
        <f>ROUND(172.24*(1+AD6)*(1+AD5)+AD7,2)</f>
        <v>0</v>
      </c>
      <c r="BA31" s="8" t="str">
        <f>ROUND(179.44*(1+AD6)*(1+AD5)+AD7,2)</f>
        <v>0</v>
      </c>
      <c r="BB31" s="8" t="str">
        <f>ROUND(188.58*(1+AD6)*(1+AD5)+AD7,2)</f>
        <v>0</v>
      </c>
      <c r="BC31" s="8" t="str">
        <f>ROUND(198.73*(1+AD6)*(1+AD5)+AD7,2)</f>
        <v>0</v>
      </c>
      <c r="BD31" s="8" t="str">
        <f>ROUND(207.96*(1+AD6)*(1+AD5)+AD7,2)</f>
        <v>0</v>
      </c>
      <c r="BE31" t="str">
        <f>ROUND(214.9*(1+AD6)*(1+AD5)+AD7,2)</f>
        <v>0</v>
      </c>
      <c r="BF31" t="str">
        <f>ROUND(221.99*(1+AD6)*(1+AD5)+AD7,2)</f>
        <v>0</v>
      </c>
    </row>
    <row r="32" spans="1:58">
      <c r="A32" s="8"/>
      <c r="B32" s="10"/>
      <c r="C32" s="14">
        <v>2700</v>
      </c>
      <c r="D32" s="8">
        <v>57.47</v>
      </c>
      <c r="E32" s="8">
        <v>64.67</v>
      </c>
      <c r="F32" s="8">
        <v>71.84</v>
      </c>
      <c r="G32" s="8">
        <v>79.09</v>
      </c>
      <c r="H32" s="8">
        <v>87.26</v>
      </c>
      <c r="I32" s="8">
        <v>95.46</v>
      </c>
      <c r="J32" s="8">
        <v>103.75</v>
      </c>
      <c r="K32" s="8">
        <v>111.28</v>
      </c>
      <c r="L32" s="8">
        <v>119.33</v>
      </c>
      <c r="M32" s="8">
        <v>126.8</v>
      </c>
      <c r="N32" s="8">
        <v>134.28</v>
      </c>
      <c r="O32" s="8">
        <v>141.7</v>
      </c>
      <c r="P32" s="8">
        <v>149.83</v>
      </c>
      <c r="Q32" s="8">
        <v>158.7</v>
      </c>
      <c r="R32" s="8">
        <v>165.88</v>
      </c>
      <c r="S32" s="8">
        <v>173.56</v>
      </c>
      <c r="T32" s="8">
        <v>180.86</v>
      </c>
      <c r="U32" s="8">
        <v>188.41</v>
      </c>
      <c r="V32" s="8">
        <v>198.02</v>
      </c>
      <c r="W32" s="8">
        <v>208.67</v>
      </c>
      <c r="X32" s="8">
        <v>218.36</v>
      </c>
      <c r="Y32" s="8">
        <v>225.64</v>
      </c>
      <c r="Z32" s="8">
        <v>233.09</v>
      </c>
      <c r="AA32" s="8"/>
      <c r="AB32" s="8"/>
      <c r="AC32" s="8"/>
      <c r="AD32" s="8"/>
      <c r="AE32" s="8"/>
      <c r="AF32" s="8"/>
      <c r="AG32" s="9"/>
      <c r="AH32" s="10"/>
      <c r="AI32" s="14">
        <v>2700</v>
      </c>
      <c r="AJ32" s="8" t="str">
        <f>ROUND(57.47*(1+AD6)*(1+AD5)+AD7,2)</f>
        <v>0</v>
      </c>
      <c r="AK32" s="8" t="str">
        <f>ROUND(64.67*(1+AD6)*(1+AD5)+AD7,2)</f>
        <v>0</v>
      </c>
      <c r="AL32" s="8" t="str">
        <f>ROUND(71.84*(1+AD6)*(1+AD5)+AD7,2)</f>
        <v>0</v>
      </c>
      <c r="AM32" s="8" t="str">
        <f>ROUND(79.09*(1+AD6)*(1+AD5)+AD7,2)</f>
        <v>0</v>
      </c>
      <c r="AN32" s="8" t="str">
        <f>ROUND(87.26*(1+AD6)*(1+AD5)+AD7,2)</f>
        <v>0</v>
      </c>
      <c r="AO32" s="8" t="str">
        <f>ROUND(95.46*(1+AD6)*(1+AD5)+AD7,2)</f>
        <v>0</v>
      </c>
      <c r="AP32" s="8" t="str">
        <f>ROUND(103.75*(1+AD6)*(1+AD5)+AD7,2)</f>
        <v>0</v>
      </c>
      <c r="AQ32" s="8" t="str">
        <f>ROUND(111.28*(1+AD6)*(1+AD5)+AD7,2)</f>
        <v>0</v>
      </c>
      <c r="AR32" s="8" t="str">
        <f>ROUND(119.33*(1+AD6)*(1+AD5)+AD7,2)</f>
        <v>0</v>
      </c>
      <c r="AS32" s="8" t="str">
        <f>ROUND(126.8*(1+AD6)*(1+AD5)+AD7,2)</f>
        <v>0</v>
      </c>
      <c r="AT32" s="8" t="str">
        <f>ROUND(134.28*(1+AD6)*(1+AD5)+AD7,2)</f>
        <v>0</v>
      </c>
      <c r="AU32" s="8" t="str">
        <f>ROUND(141.7*(1+AD6)*(1+AD5)+AD7,2)</f>
        <v>0</v>
      </c>
      <c r="AV32" s="8" t="str">
        <f>ROUND(149.83*(1+AD6)*(1+AD5)+AD7,2)</f>
        <v>0</v>
      </c>
      <c r="AW32" s="8" t="str">
        <f>ROUND(158.7*(1+AD6)*(1+AD5)+AD7,2)</f>
        <v>0</v>
      </c>
      <c r="AX32" s="8" t="str">
        <f>ROUND(165.88*(1+AD6)*(1+AD5)+AD7,2)</f>
        <v>0</v>
      </c>
      <c r="AY32" s="8" t="str">
        <f>ROUND(173.56*(1+AD6)*(1+AD5)+AD7,2)</f>
        <v>0</v>
      </c>
      <c r="AZ32" s="8" t="str">
        <f>ROUND(180.86*(1+AD6)*(1+AD5)+AD7,2)</f>
        <v>0</v>
      </c>
      <c r="BA32" s="8" t="str">
        <f>ROUND(188.41*(1+AD6)*(1+AD5)+AD7,2)</f>
        <v>0</v>
      </c>
      <c r="BB32" s="8" t="str">
        <f>ROUND(198.02*(1+AD6)*(1+AD5)+AD7,2)</f>
        <v>0</v>
      </c>
      <c r="BC32" s="8" t="str">
        <f>ROUND(208.67*(1+AD6)*(1+AD5)+AD7,2)</f>
        <v>0</v>
      </c>
      <c r="BD32" s="8" t="str">
        <f>ROUND(218.36*(1+AD6)*(1+AD5)+AD7,2)</f>
        <v>0</v>
      </c>
      <c r="BE32" t="str">
        <f>ROUND(225.64*(1+AD6)*(1+AD5)+AD7,2)</f>
        <v>0</v>
      </c>
      <c r="BF32" t="str">
        <f>ROUND(233.09*(1+AD6)*(1+AD5)+AD7,2)</f>
        <v>0</v>
      </c>
    </row>
    <row r="33" spans="1:58">
      <c r="A33" s="8"/>
      <c r="B33" s="10"/>
      <c r="C33" s="14">
        <v>2800</v>
      </c>
      <c r="D33" s="8">
        <v>60.34</v>
      </c>
      <c r="E33" s="8">
        <v>67.9</v>
      </c>
      <c r="F33" s="8">
        <v>75.43</v>
      </c>
      <c r="G33" s="8">
        <v>83.04</v>
      </c>
      <c r="H33" s="8">
        <v>91.62</v>
      </c>
      <c r="I33" s="8">
        <v>100.23</v>
      </c>
      <c r="J33" s="8">
        <v>108.93</v>
      </c>
      <c r="K33" s="8">
        <v>116.84</v>
      </c>
      <c r="L33" s="8">
        <v>125.3</v>
      </c>
      <c r="M33" s="8">
        <v>133.13</v>
      </c>
      <c r="N33" s="8">
        <v>141</v>
      </c>
      <c r="O33" s="8">
        <v>148.79</v>
      </c>
      <c r="P33" s="8">
        <v>157.32</v>
      </c>
      <c r="Q33" s="8">
        <v>166.63</v>
      </c>
      <c r="R33" s="8">
        <v>174.17</v>
      </c>
      <c r="S33" s="8">
        <v>182.24</v>
      </c>
      <c r="T33" s="8">
        <v>189.9</v>
      </c>
      <c r="U33" s="8">
        <v>197.83</v>
      </c>
      <c r="V33" s="8">
        <v>207.92</v>
      </c>
      <c r="W33" s="8">
        <v>219.1</v>
      </c>
      <c r="X33" s="8">
        <v>229.28</v>
      </c>
      <c r="Y33" s="8">
        <v>236.93</v>
      </c>
      <c r="Z33" s="8">
        <v>244.74</v>
      </c>
      <c r="AA33" s="8"/>
      <c r="AB33" s="8"/>
      <c r="AC33" s="8"/>
      <c r="AD33" s="8"/>
      <c r="AE33" s="8"/>
      <c r="AF33" s="8"/>
      <c r="AG33" s="9"/>
      <c r="AH33" s="10"/>
      <c r="AI33" s="14">
        <v>2800</v>
      </c>
      <c r="AJ33" s="8" t="str">
        <f>ROUND(60.34*(1+AD6)*(1+AD5)+AD7,2)</f>
        <v>0</v>
      </c>
      <c r="AK33" s="8" t="str">
        <f>ROUND(67.9*(1+AD6)*(1+AD5)+AD7,2)</f>
        <v>0</v>
      </c>
      <c r="AL33" s="8" t="str">
        <f>ROUND(75.43*(1+AD6)*(1+AD5)+AD7,2)</f>
        <v>0</v>
      </c>
      <c r="AM33" s="8" t="str">
        <f>ROUND(83.04*(1+AD6)*(1+AD5)+AD7,2)</f>
        <v>0</v>
      </c>
      <c r="AN33" s="8" t="str">
        <f>ROUND(91.62*(1+AD6)*(1+AD5)+AD7,2)</f>
        <v>0</v>
      </c>
      <c r="AO33" s="8" t="str">
        <f>ROUND(100.23*(1+AD6)*(1+AD5)+AD7,2)</f>
        <v>0</v>
      </c>
      <c r="AP33" s="8" t="str">
        <f>ROUND(108.93*(1+AD6)*(1+AD5)+AD7,2)</f>
        <v>0</v>
      </c>
      <c r="AQ33" s="8" t="str">
        <f>ROUND(116.84*(1+AD6)*(1+AD5)+AD7,2)</f>
        <v>0</v>
      </c>
      <c r="AR33" s="8" t="str">
        <f>ROUND(125.3*(1+AD6)*(1+AD5)+AD7,2)</f>
        <v>0</v>
      </c>
      <c r="AS33" s="8" t="str">
        <f>ROUND(133.13*(1+AD6)*(1+AD5)+AD7,2)</f>
        <v>0</v>
      </c>
      <c r="AT33" s="8" t="str">
        <f>ROUND(141*(1+AD6)*(1+AD5)+AD7,2)</f>
        <v>0</v>
      </c>
      <c r="AU33" s="8" t="str">
        <f>ROUND(148.79*(1+AD6)*(1+AD5)+AD7,2)</f>
        <v>0</v>
      </c>
      <c r="AV33" s="8" t="str">
        <f>ROUND(157.32*(1+AD6)*(1+AD5)+AD7,2)</f>
        <v>0</v>
      </c>
      <c r="AW33" s="8" t="str">
        <f>ROUND(166.63*(1+AD6)*(1+AD5)+AD7,2)</f>
        <v>0</v>
      </c>
      <c r="AX33" s="8" t="str">
        <f>ROUND(174.17*(1+AD6)*(1+AD5)+AD7,2)</f>
        <v>0</v>
      </c>
      <c r="AY33" s="8" t="str">
        <f>ROUND(182.24*(1+AD6)*(1+AD5)+AD7,2)</f>
        <v>0</v>
      </c>
      <c r="AZ33" s="8" t="str">
        <f>ROUND(189.9*(1+AD6)*(1+AD5)+AD7,2)</f>
        <v>0</v>
      </c>
      <c r="BA33" s="8" t="str">
        <f>ROUND(197.83*(1+AD6)*(1+AD5)+AD7,2)</f>
        <v>0</v>
      </c>
      <c r="BB33" s="8" t="str">
        <f>ROUND(207.92*(1+AD6)*(1+AD5)+AD7,2)</f>
        <v>0</v>
      </c>
      <c r="BC33" s="8" t="str">
        <f>ROUND(219.1*(1+AD6)*(1+AD5)+AD7,2)</f>
        <v>0</v>
      </c>
      <c r="BD33" s="8" t="str">
        <f>ROUND(229.28*(1+AD6)*(1+AD5)+AD7,2)</f>
        <v>0</v>
      </c>
      <c r="BE33" t="str">
        <f>ROUND(236.93*(1+AD6)*(1+AD5)+AD7,2)</f>
        <v>0</v>
      </c>
      <c r="BF33" t="str">
        <f>ROUND(244.74*(1+AD6)*(1+AD5)+AD7,2)</f>
        <v>0</v>
      </c>
    </row>
    <row r="34" spans="1:58">
      <c r="A34" s="8"/>
      <c r="B34" s="10"/>
      <c r="C34" s="14">
        <v>2900</v>
      </c>
      <c r="D34" s="8">
        <v>63.36</v>
      </c>
      <c r="E34" s="8">
        <v>71.29</v>
      </c>
      <c r="F34" s="8">
        <v>79.2</v>
      </c>
      <c r="G34" s="8">
        <v>87.2</v>
      </c>
      <c r="H34" s="8">
        <v>96.21</v>
      </c>
      <c r="I34" s="8">
        <v>105.24</v>
      </c>
      <c r="J34" s="8">
        <v>114.38</v>
      </c>
      <c r="K34" s="8">
        <v>122.69</v>
      </c>
      <c r="L34" s="8">
        <v>131.57</v>
      </c>
      <c r="M34" s="8">
        <v>139.79</v>
      </c>
      <c r="N34" s="8">
        <v>148.05</v>
      </c>
      <c r="O34" s="8">
        <v>156.23</v>
      </c>
      <c r="P34" s="8">
        <v>165.18</v>
      </c>
      <c r="Q34" s="8">
        <v>174.97</v>
      </c>
      <c r="R34" s="8">
        <v>182.88</v>
      </c>
      <c r="S34" s="8">
        <v>191.35</v>
      </c>
      <c r="T34" s="8">
        <v>199.39</v>
      </c>
      <c r="U34" s="8">
        <v>207.72</v>
      </c>
      <c r="V34" s="8">
        <v>218.31</v>
      </c>
      <c r="W34" s="8">
        <v>230.05</v>
      </c>
      <c r="X34" s="8">
        <v>240.75</v>
      </c>
      <c r="Y34" s="8">
        <v>248.77</v>
      </c>
      <c r="Z34" s="8">
        <v>256.98</v>
      </c>
      <c r="AA34" s="8"/>
      <c r="AB34" s="8"/>
      <c r="AC34" s="8"/>
      <c r="AD34" s="8"/>
      <c r="AE34" s="8"/>
      <c r="AF34" s="8"/>
      <c r="AG34" s="9"/>
      <c r="AH34" s="10"/>
      <c r="AI34" s="14">
        <v>2900</v>
      </c>
      <c r="AJ34" s="8" t="str">
        <f>ROUND(63.36*(1+AD6)*(1+AD5)+AD7,2)</f>
        <v>0</v>
      </c>
      <c r="AK34" s="8" t="str">
        <f>ROUND(71.29*(1+AD6)*(1+AD5)+AD7,2)</f>
        <v>0</v>
      </c>
      <c r="AL34" s="8" t="str">
        <f>ROUND(79.2*(1+AD6)*(1+AD5)+AD7,2)</f>
        <v>0</v>
      </c>
      <c r="AM34" s="8" t="str">
        <f>ROUND(87.2*(1+AD6)*(1+AD5)+AD7,2)</f>
        <v>0</v>
      </c>
      <c r="AN34" s="8" t="str">
        <f>ROUND(96.21*(1+AD6)*(1+AD5)+AD7,2)</f>
        <v>0</v>
      </c>
      <c r="AO34" s="8" t="str">
        <f>ROUND(105.24*(1+AD6)*(1+AD5)+AD7,2)</f>
        <v>0</v>
      </c>
      <c r="AP34" s="8" t="str">
        <f>ROUND(114.38*(1+AD6)*(1+AD5)+AD7,2)</f>
        <v>0</v>
      </c>
      <c r="AQ34" s="8" t="str">
        <f>ROUND(122.69*(1+AD6)*(1+AD5)+AD7,2)</f>
        <v>0</v>
      </c>
      <c r="AR34" s="8" t="str">
        <f>ROUND(131.57*(1+AD6)*(1+AD5)+AD7,2)</f>
        <v>0</v>
      </c>
      <c r="AS34" s="8" t="str">
        <f>ROUND(139.79*(1+AD6)*(1+AD5)+AD7,2)</f>
        <v>0</v>
      </c>
      <c r="AT34" s="8" t="str">
        <f>ROUND(148.05*(1+AD6)*(1+AD5)+AD7,2)</f>
        <v>0</v>
      </c>
      <c r="AU34" s="8" t="str">
        <f>ROUND(156.23*(1+AD6)*(1+AD5)+AD7,2)</f>
        <v>0</v>
      </c>
      <c r="AV34" s="8" t="str">
        <f>ROUND(165.18*(1+AD6)*(1+AD5)+AD7,2)</f>
        <v>0</v>
      </c>
      <c r="AW34" s="8" t="str">
        <f>ROUND(174.97*(1+AD6)*(1+AD5)+AD7,2)</f>
        <v>0</v>
      </c>
      <c r="AX34" s="8" t="str">
        <f>ROUND(182.88*(1+AD6)*(1+AD5)+AD7,2)</f>
        <v>0</v>
      </c>
      <c r="AY34" s="8" t="str">
        <f>ROUND(191.35*(1+AD6)*(1+AD5)+AD7,2)</f>
        <v>0</v>
      </c>
      <c r="AZ34" s="8" t="str">
        <f>ROUND(199.39*(1+AD6)*(1+AD5)+AD7,2)</f>
        <v>0</v>
      </c>
      <c r="BA34" s="8" t="str">
        <f>ROUND(207.72*(1+AD6)*(1+AD5)+AD7,2)</f>
        <v>0</v>
      </c>
      <c r="BB34" s="8" t="str">
        <f>ROUND(218.31*(1+AD6)*(1+AD5)+AD7,2)</f>
        <v>0</v>
      </c>
      <c r="BC34" s="8" t="str">
        <f>ROUND(230.05*(1+AD6)*(1+AD5)+AD7,2)</f>
        <v>0</v>
      </c>
      <c r="BD34" s="8" t="str">
        <f>ROUND(240.75*(1+AD6)*(1+AD5)+AD7,2)</f>
        <v>0</v>
      </c>
      <c r="BE34" t="str">
        <f>ROUND(248.77*(1+AD6)*(1+AD5)+AD7,2)</f>
        <v>0</v>
      </c>
      <c r="BF34" t="str">
        <f>ROUND(256.98*(1+AD6)*(1+AD5)+AD7,2)</f>
        <v>0</v>
      </c>
    </row>
    <row r="35" spans="1:58">
      <c r="A35" s="8"/>
      <c r="B35" s="10"/>
      <c r="C35" s="14">
        <v>3000</v>
      </c>
      <c r="D35" s="8">
        <v>66.52</v>
      </c>
      <c r="E35" s="8">
        <v>74.85</v>
      </c>
      <c r="F35" s="8">
        <v>83.16</v>
      </c>
      <c r="G35" s="8">
        <v>91.56</v>
      </c>
      <c r="H35" s="8">
        <v>101.02</v>
      </c>
      <c r="I35" s="8">
        <v>110.51</v>
      </c>
      <c r="J35" s="8">
        <v>120.1</v>
      </c>
      <c r="K35" s="8">
        <v>128.82</v>
      </c>
      <c r="L35" s="8">
        <v>138.14</v>
      </c>
      <c r="M35" s="8">
        <v>146.78</v>
      </c>
      <c r="N35" s="8">
        <v>155.45</v>
      </c>
      <c r="O35" s="8">
        <v>164.04</v>
      </c>
      <c r="P35" s="8">
        <v>173.45</v>
      </c>
      <c r="Q35" s="8">
        <v>183.72</v>
      </c>
      <c r="R35" s="8">
        <v>192.03</v>
      </c>
      <c r="S35" s="8">
        <v>200.92</v>
      </c>
      <c r="T35" s="8">
        <v>209.37</v>
      </c>
      <c r="U35" s="8">
        <v>218.11</v>
      </c>
      <c r="V35" s="8">
        <v>229.22</v>
      </c>
      <c r="W35" s="8">
        <v>241.56</v>
      </c>
      <c r="X35" s="8">
        <v>252.79</v>
      </c>
      <c r="Y35" s="8">
        <v>261.22</v>
      </c>
      <c r="Z35" s="8">
        <v>269.83</v>
      </c>
      <c r="AA35" s="8"/>
      <c r="AB35" s="8"/>
      <c r="AC35" s="8"/>
      <c r="AD35" s="8"/>
      <c r="AE35" s="8"/>
      <c r="AF35" s="8"/>
      <c r="AG35" s="9"/>
      <c r="AH35" s="10"/>
      <c r="AI35" s="14">
        <v>3000</v>
      </c>
      <c r="AJ35" s="8" t="str">
        <f>ROUND(66.52*(1+AD6)*(1+AD5)+AD7,2)</f>
        <v>0</v>
      </c>
      <c r="AK35" s="8" t="str">
        <f>ROUND(74.85*(1+AD6)*(1+AD5)+AD7,2)</f>
        <v>0</v>
      </c>
      <c r="AL35" s="8" t="str">
        <f>ROUND(83.16*(1+AD6)*(1+AD5)+AD7,2)</f>
        <v>0</v>
      </c>
      <c r="AM35" s="8" t="str">
        <f>ROUND(91.56*(1+AD6)*(1+AD5)+AD7,2)</f>
        <v>0</v>
      </c>
      <c r="AN35" s="8" t="str">
        <f>ROUND(101.02*(1+AD6)*(1+AD5)+AD7,2)</f>
        <v>0</v>
      </c>
      <c r="AO35" s="8" t="str">
        <f>ROUND(110.51*(1+AD6)*(1+AD5)+AD7,2)</f>
        <v>0</v>
      </c>
      <c r="AP35" s="8" t="str">
        <f>ROUND(120.1*(1+AD6)*(1+AD5)+AD7,2)</f>
        <v>0</v>
      </c>
      <c r="AQ35" s="8" t="str">
        <f>ROUND(128.82*(1+AD6)*(1+AD5)+AD7,2)</f>
        <v>0</v>
      </c>
      <c r="AR35" s="8" t="str">
        <f>ROUND(138.14*(1+AD6)*(1+AD5)+AD7,2)</f>
        <v>0</v>
      </c>
      <c r="AS35" s="8" t="str">
        <f>ROUND(146.78*(1+AD6)*(1+AD5)+AD7,2)</f>
        <v>0</v>
      </c>
      <c r="AT35" s="8" t="str">
        <f>ROUND(155.45*(1+AD6)*(1+AD5)+AD7,2)</f>
        <v>0</v>
      </c>
      <c r="AU35" s="8" t="str">
        <f>ROUND(164.04*(1+AD6)*(1+AD5)+AD7,2)</f>
        <v>0</v>
      </c>
      <c r="AV35" s="8" t="str">
        <f>ROUND(173.45*(1+AD6)*(1+AD5)+AD7,2)</f>
        <v>0</v>
      </c>
      <c r="AW35" s="8" t="str">
        <f>ROUND(183.72*(1+AD6)*(1+AD5)+AD7,2)</f>
        <v>0</v>
      </c>
      <c r="AX35" s="8" t="str">
        <f>ROUND(192.03*(1+AD6)*(1+AD5)+AD7,2)</f>
        <v>0</v>
      </c>
      <c r="AY35" s="8" t="str">
        <f>ROUND(200.92*(1+AD6)*(1+AD5)+AD7,2)</f>
        <v>0</v>
      </c>
      <c r="AZ35" s="8" t="str">
        <f>ROUND(209.37*(1+AD6)*(1+AD5)+AD7,2)</f>
        <v>0</v>
      </c>
      <c r="BA35" s="8" t="str">
        <f>ROUND(218.11*(1+AD6)*(1+AD5)+AD7,2)</f>
        <v>0</v>
      </c>
      <c r="BB35" s="8" t="str">
        <f>ROUND(229.22*(1+AD6)*(1+AD5)+AD7,2)</f>
        <v>0</v>
      </c>
      <c r="BC35" s="8" t="str">
        <f>ROUND(241.56*(1+AD6)*(1+AD5)+AD7,2)</f>
        <v>0</v>
      </c>
      <c r="BD35" s="8" t="str">
        <f>ROUND(252.79*(1+AD6)*(1+AD5)+AD7,2)</f>
        <v>0</v>
      </c>
      <c r="BE35" t="str">
        <f>ROUND(261.22*(1+AD6)*(1+AD5)+AD7,2)</f>
        <v>0</v>
      </c>
      <c r="BF35" t="str">
        <f>ROUND(269.83*(1+AD6)*(1+AD5)+AD7,2)</f>
        <v>0</v>
      </c>
    </row>
    <row r="36" spans="1:58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1:58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1:5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1:58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1:58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1:58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1:58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1:58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1:58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1:58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1:58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1:58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1:5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1:58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1:58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1:58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1:58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1:58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1:58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1:58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1:58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</row>
    <row r="57" spans="1:58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</row>
    <row r="58" spans="1: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</row>
    <row r="59" spans="1:58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</row>
    <row r="60" spans="1:58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</row>
    <row r="61" spans="1:58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</row>
    <row r="62" spans="1:58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</row>
    <row r="63" spans="1:58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</row>
    <row r="64" spans="1:58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</row>
    <row r="65" spans="1:58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</row>
    <row r="66" spans="1:58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</row>
    <row r="67" spans="1:58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</row>
    <row r="68" spans="1:5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</row>
    <row r="69" spans="1:58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</row>
    <row r="70" spans="1:58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</row>
    <row r="71" spans="1:58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</row>
    <row r="72" spans="1:58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</row>
    <row r="73" spans="1:58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</row>
    <row r="74" spans="1:58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</row>
    <row r="75" spans="1:58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</row>
    <row r="76" spans="1:58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</row>
    <row r="77" spans="1:58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</row>
    <row r="78" spans="1:5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</row>
    <row r="79" spans="1:58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</row>
    <row r="80" spans="1:58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</row>
    <row r="81" spans="1:58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</row>
    <row r="82" spans="1:58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</row>
    <row r="83" spans="1:58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</row>
    <row r="84" spans="1:58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</row>
    <row r="85" spans="1:58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</row>
    <row r="86" spans="1:58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</row>
    <row r="87" spans="1:58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</row>
    <row r="88" spans="1:5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</row>
    <row r="89" spans="1:58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</row>
    <row r="90" spans="1:58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</row>
    <row r="91" spans="1:58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</row>
    <row r="92" spans="1:58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</row>
    <row r="93" spans="1:58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</row>
    <row r="94" spans="1:58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</row>
    <row r="95" spans="1:58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</row>
    <row r="96" spans="1:58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</row>
    <row r="97" spans="1:58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</row>
    <row r="98" spans="1:5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</row>
    <row r="99" spans="1:58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</row>
    <row r="100" spans="1:58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</row>
    <row r="101" spans="1:58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</row>
    <row r="102" spans="1:58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</row>
    <row r="103" spans="1:58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</row>
    <row r="104" spans="1:58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</row>
    <row r="105" spans="1:58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</row>
    <row r="106" spans="1:58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</row>
    <row r="107" spans="1:58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</row>
    <row r="108" spans="1:5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</row>
    <row r="109" spans="1:58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</row>
    <row r="110" spans="1:58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</row>
    <row r="111" spans="1:58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</row>
  </sheetData>
  <mergeCells>
    <mergeCell ref="C8:Z8"/>
    <mergeCell ref="AA8:AH8"/>
    <mergeCell ref="AI8:BF8"/>
    <mergeCell ref="C9:Z9"/>
    <mergeCell ref="AA9:AG9"/>
    <mergeCell ref="AI9:BF9"/>
    <mergeCell ref="C11:Z11"/>
    <mergeCell ref="AA11:AG11"/>
    <mergeCell ref="AI11:BF11"/>
    <mergeCell ref="C12:Z12"/>
    <mergeCell ref="AA12:AG12"/>
    <mergeCell ref="AI12:BF12"/>
    <mergeCell ref="C13:Z13"/>
    <mergeCell ref="AA13:AG13"/>
    <mergeCell ref="AI13:BF13"/>
    <mergeCell ref="AA14:AG14"/>
    <mergeCell ref="B15:B35"/>
    <mergeCell ref="AA15:AG15"/>
    <mergeCell ref="AH15:AH35"/>
    <mergeCell ref="AA16:AG16"/>
    <mergeCell ref="AA17:AG17"/>
    <mergeCell ref="AA18:AG18"/>
    <mergeCell ref="AA19:AG19"/>
    <mergeCell ref="AA20:AG20"/>
    <mergeCell ref="AA21:AG21"/>
    <mergeCell ref="AA22:AG22"/>
    <mergeCell ref="AA23:AG23"/>
    <mergeCell ref="AA24:AG24"/>
    <mergeCell ref="AA25:AG25"/>
    <mergeCell ref="AA26:AG26"/>
    <mergeCell ref="AA27:AG27"/>
    <mergeCell ref="AA28:AG28"/>
    <mergeCell ref="AA29:AG29"/>
    <mergeCell ref="AA30:AG30"/>
    <mergeCell ref="AA31:AG31"/>
    <mergeCell ref="AA32:AG32"/>
    <mergeCell ref="AA33:AG33"/>
    <mergeCell ref="AA34:AG34"/>
    <mergeCell ref="AA35:AG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Price Calculator Premier Softsh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2026-07-07T15:12:53+00:00</dcterms:created>
  <dcterms:modified xsi:type="dcterms:W3CDTF">2026-07-07T15:12:53+00:00</dcterms:modified>
  <dc:title>Premier Softshade Price List</dc:title>
  <dc:description/>
  <dc:subject/>
  <cp:keywords/>
  <cp:category/>
</cp:coreProperties>
</file>