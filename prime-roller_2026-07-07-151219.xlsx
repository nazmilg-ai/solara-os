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ice Calculator Prime Roller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<sst xmlns="http://schemas.openxmlformats.org/spreadsheetml/2006/main" uniqueCount="30">
  <si>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DISCOUNTED PRICE TABLES 2026</t>
  </si>
  <si>
    <t>Account Code:</t>
  </si>
  <si>
    <t>BLIN418</t>
  </si>
  <si>
    <t>Product</t>
  </si>
  <si>
    <t>Discount %</t>
  </si>
  <si>
    <t>Prime Roller - AA</t>
  </si>
  <si>
    <t>5%</t>
  </si>
  <si>
    <t>Prime Roller - A</t>
  </si>
  <si>
    <t>Prime Roller - C</t>
  </si>
  <si>
    <t>Prime Roller - AB</t>
  </si>
  <si>
    <t>Adjust the values above to update the suggested sell price tables.</t>
  </si>
  <si>
    <t>DISCOUNTED COST</t>
  </si>
  <si>
    <t>SUGGESTED SELL PRICE</t>
  </si>
  <si>
    <t>Prime Roller - Prime Roller - PRICE RANGE AA</t>
  </si>
  <si>
    <t>Scope</t>
  </si>
  <si>
    <t>WIDTH</t>
  </si>
  <si>
    <t>(mm)</t>
  </si>
  <si>
    <t>DROP</t>
  </si>
  <si>
    <t>Prime Roller - Prime Roller - PRICE RANGE A</t>
  </si>
  <si>
    <t>Splash, Nico</t>
  </si>
  <si>
    <t>Prime Roller - Prime Roller - PRICE RANGE C</t>
  </si>
  <si>
    <t>Bella</t>
  </si>
  <si>
    <t>Prime Roller - Prime Roller - PRICE RANGE AB</t>
  </si>
  <si>
    <t>Como</t>
  </si>
  <si>
    <t>Mark Up:</t>
  </si>
  <si>
    <t>VAT:</t>
  </si>
  <si>
    <t>Additional Charge:</t>
  </si>
  <si>
    <t>100.00%</t>
  </si>
  <si>
    <t>20%</t>
  </si>
  <si>
    <t>£ 0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</si>
</sst>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ebebe"/>
        <bgColor rgb="FFbebebe"/>
      </patternFill>
    </fill>
    <fill>
      <patternFill patternType="solid">
        <fgColor rgb="FF3C64B1"/>
        <bgColor rgb="FF3C64B1"/>
      </patternFill>
    </fill>
    <fill>
      <patternFill patternType="solid">
        <fgColor rgb="FFadc0e3"/>
        <bgColor rgb="FFadc0e3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90" wrapText="true" shrinkToFit="false"/>
    </xf>
    <xf xfId="0" fontId="2" numFmtId="0" fillId="4" borderId="0" applyFont="1" applyNumberFormat="0" applyFill="1" applyBorder="0" applyAlignment="1">
      <alignment vertical="center" textRotation="90" wrapText="tru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5" borderId="0" applyFont="0" applyNumberFormat="0" applyFill="1" applyBorder="0" applyAlignment="1">
      <alignment vertical="bottom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5" numFmtId="0" fillId="2" borderId="0" applyFont="1" applyNumberFormat="0" applyFill="1" applyBorder="0" applyAlignment="1">
      <alignment vertical="bottom" textRotation="0" wrapText="true" shrinkToFit="false"/>
    </xf>
    <xf xfId="0" fontId="5" numFmtId="0" fillId="6" borderId="0" applyFont="1" applyNumberFormat="0" applyFill="1" applyBorder="0" applyAlignment="1">
      <alignment vertical="bottom" textRotation="0" wrapText="true" shrinkToFit="false"/>
    </xf>
    <xf xfId="0" fontId="5" numFmtId="9" fillId="6" borderId="0" applyFont="1" applyNumberFormat="1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B8" sqref="B8"/>
    </sheetView>
  </sheetViews>
  <sheetFormatPr defaultRowHeight="14.4" outlineLevelRow="0" outlineLevelCol="0"/>
  <cols>
    <col min="1" max="1" width="30" customWidth="true" style="0"/>
    <col min="2" max="2" width="15" customWidth="true" style="0"/>
  </cols>
  <sheetData>
    <row r="1" spans="1:2">
      <c r="A1" s="1" t="s">
        <v>0</v>
      </c>
    </row>
    <row r="2" spans="1:2">
      <c r="A2" s="2" t="s">
        <v>1</v>
      </c>
      <c r="B2" s="3" t="s">
        <v>2</v>
      </c>
    </row>
    <row r="4" spans="1:2">
      <c r="A4" s="2" t="s">
        <v>3</v>
      </c>
      <c r="B4" s="2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6</v>
      </c>
    </row>
    <row r="7" spans="1:2">
      <c r="A7" s="3" t="s">
        <v>8</v>
      </c>
      <c r="B7" s="3" t="s">
        <v>6</v>
      </c>
    </row>
    <row r="8" spans="1:2">
      <c r="A8" s="3" t="s">
        <v>9</v>
      </c>
      <c r="B8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111"/>
  <sheetViews>
    <sheetView tabSelected="0" workbookViewId="0" showGridLines="true" showRowColHeaders="1">
      <selection activeCell="A1" sqref="A1:BD111"/>
    </sheetView>
  </sheetViews>
  <sheetFormatPr defaultRowHeight="14.4" outlineLevelRow="0" outlineLevelCol="0"/>
  <cols>
    <col min="2" max="2" width="4" customWidth="true" style="0"/>
    <col min="19" max="19" width="28.279" bestFit="true" customWidth="true" style="0"/>
    <col min="20" max="20" width="11.711" bestFit="true" customWidth="true" style="0"/>
    <col min="23" max="23" width="4" customWidth="true" style="0"/>
    <col min="24" max="24" width="4" customWidth="true" style="0"/>
  </cols>
  <sheetData>
    <row r="1" spans="1:56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1:56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1:56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13" t="s">
        <v>1</v>
      </c>
      <c r="T4" s="14" t="str">
        <f>Summary!$B$2</f>
        <v>0</v>
      </c>
      <c r="U4" s="4"/>
      <c r="V4" s="4"/>
      <c r="W4" s="4"/>
      <c r="X4" s="5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56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3" t="s">
        <v>24</v>
      </c>
      <c r="T5" s="15" t="s">
        <v>27</v>
      </c>
      <c r="U5" s="4"/>
      <c r="V5" s="4"/>
      <c r="W5" s="4"/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3" t="s">
        <v>25</v>
      </c>
      <c r="T6" s="15" t="s">
        <v>28</v>
      </c>
      <c r="U6" s="4"/>
      <c r="V6" s="4"/>
      <c r="W6" s="4"/>
      <c r="X6" s="5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56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3" t="s">
        <v>26</v>
      </c>
      <c r="T7" s="14" t="s">
        <v>29</v>
      </c>
      <c r="U7" s="4"/>
      <c r="V7" s="4"/>
      <c r="W7" s="4"/>
      <c r="X7" s="5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2" t="s">
        <v>10</v>
      </c>
      <c r="R8" s="12"/>
      <c r="S8" s="12"/>
      <c r="T8" s="12"/>
      <c r="U8" s="12"/>
      <c r="V8" s="12"/>
      <c r="W8" s="16"/>
      <c r="X8" s="16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 spans="1:56">
      <c r="A9" s="4"/>
      <c r="B9" s="5"/>
      <c r="C9" s="7" t="s">
        <v>11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4"/>
      <c r="R9" s="4"/>
      <c r="S9" s="4"/>
      <c r="T9" s="4"/>
      <c r="U9" s="4"/>
      <c r="V9" s="4"/>
      <c r="W9" s="5"/>
      <c r="X9" s="5"/>
      <c r="Y9" s="7" t="s">
        <v>12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r="10" spans="1:56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5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>
      <c r="A11" s="4"/>
      <c r="B11" s="5"/>
      <c r="C11" s="8" t="s">
        <v>13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4"/>
      <c r="R11" s="4"/>
      <c r="S11" s="4"/>
      <c r="T11" s="4"/>
      <c r="U11" s="4"/>
      <c r="V11" s="4"/>
      <c r="W11" s="5"/>
      <c r="X11" s="5"/>
      <c r="Y11" s="8" t="s">
        <v>13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 spans="1:56">
      <c r="A12" s="4"/>
      <c r="B12" s="5"/>
      <c r="C12" s="8" t="s">
        <v>14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4"/>
      <c r="R12" s="4"/>
      <c r="S12" s="4"/>
      <c r="T12" s="4"/>
      <c r="U12" s="4"/>
      <c r="V12" s="4"/>
      <c r="W12" s="5"/>
      <c r="X12" s="5"/>
      <c r="Y12" s="8" t="s">
        <v>14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r="13" spans="1:56">
      <c r="A13" s="4"/>
      <c r="B13" s="5"/>
      <c r="C13" s="9" t="s">
        <v>15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4"/>
      <c r="R13" s="4"/>
      <c r="S13" s="4"/>
      <c r="T13" s="4"/>
      <c r="U13" s="4"/>
      <c r="V13" s="4"/>
      <c r="W13" s="5"/>
      <c r="X13" s="5"/>
      <c r="Y13" s="9" t="s">
        <v>15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>
      <c r="A14" s="4"/>
      <c r="B14" s="6"/>
      <c r="C14" s="10" t="s">
        <v>16</v>
      </c>
      <c r="D14" s="10">
        <v>610</v>
      </c>
      <c r="E14" s="10">
        <v>762</v>
      </c>
      <c r="F14" s="10">
        <v>914</v>
      </c>
      <c r="G14" s="10">
        <v>1067</v>
      </c>
      <c r="H14" s="10">
        <v>1219</v>
      </c>
      <c r="I14" s="10">
        <v>1376</v>
      </c>
      <c r="J14" s="10">
        <v>1524</v>
      </c>
      <c r="K14" s="10">
        <v>1676</v>
      </c>
      <c r="L14" s="10">
        <v>1829</v>
      </c>
      <c r="M14" s="10">
        <v>1981</v>
      </c>
      <c r="N14" s="10">
        <v>2134</v>
      </c>
      <c r="O14" s="10">
        <v>2438</v>
      </c>
      <c r="P14" s="10">
        <v>2800</v>
      </c>
      <c r="Q14" s="4"/>
      <c r="R14" s="4"/>
      <c r="S14" s="4"/>
      <c r="T14" s="4"/>
      <c r="U14" s="4"/>
      <c r="V14" s="4"/>
      <c r="W14" s="5"/>
      <c r="X14" s="6"/>
      <c r="Y14" s="10" t="s">
        <v>16</v>
      </c>
      <c r="Z14" s="10">
        <v>610</v>
      </c>
      <c r="AA14" s="10">
        <v>762</v>
      </c>
      <c r="AB14" s="10">
        <v>914</v>
      </c>
      <c r="AC14" s="10">
        <v>1067</v>
      </c>
      <c r="AD14" s="10">
        <v>1219</v>
      </c>
      <c r="AE14" s="10">
        <v>1376</v>
      </c>
      <c r="AF14" s="10">
        <v>1524</v>
      </c>
      <c r="AG14" s="10">
        <v>1676</v>
      </c>
      <c r="AH14" s="10">
        <v>1829</v>
      </c>
      <c r="AI14" s="10">
        <v>1981</v>
      </c>
      <c r="AJ14" s="10">
        <v>2134</v>
      </c>
      <c r="AK14" s="10">
        <v>2438</v>
      </c>
      <c r="AL14" s="10">
        <v>2800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>
      <c r="A15" s="4"/>
      <c r="B15" s="6" t="s">
        <v>17</v>
      </c>
      <c r="C15" s="10">
        <v>610</v>
      </c>
      <c r="D15" s="4">
        <v>12.27</v>
      </c>
      <c r="E15" s="4">
        <v>12.71</v>
      </c>
      <c r="F15" s="4">
        <v>13.21</v>
      </c>
      <c r="G15" s="4">
        <v>13.19</v>
      </c>
      <c r="H15" s="4">
        <v>13.66</v>
      </c>
      <c r="I15" s="4">
        <v>14.11</v>
      </c>
      <c r="J15" s="4">
        <v>14.55</v>
      </c>
      <c r="K15" s="4">
        <v>15.05</v>
      </c>
      <c r="L15" s="4">
        <v>15.55</v>
      </c>
      <c r="M15" s="4">
        <v>16.74</v>
      </c>
      <c r="N15" s="4">
        <v>19.09</v>
      </c>
      <c r="O15" s="4">
        <v>20.32</v>
      </c>
      <c r="P15" s="4">
        <v>38.25</v>
      </c>
      <c r="Q15" s="4"/>
      <c r="R15" s="4"/>
      <c r="S15" s="4"/>
      <c r="T15" s="4"/>
      <c r="U15" s="4"/>
      <c r="V15" s="4"/>
      <c r="W15" s="5"/>
      <c r="X15" s="6" t="s">
        <v>17</v>
      </c>
      <c r="Y15" s="10">
        <v>610</v>
      </c>
      <c r="Z15" s="4" t="str">
        <f>ROUND(12.27*(1+T6)*(1+T5)+T7,2)</f>
        <v>0</v>
      </c>
      <c r="AA15" s="4" t="str">
        <f>ROUND(12.71*(1+T6)*(1+T5)+T7,2)</f>
        <v>0</v>
      </c>
      <c r="AB15" s="4" t="str">
        <f>ROUND(13.21*(1+T6)*(1+T5)+T7,2)</f>
        <v>0</v>
      </c>
      <c r="AC15" s="4" t="str">
        <f>ROUND(13.19*(1+T6)*(1+T5)+T7,2)</f>
        <v>0</v>
      </c>
      <c r="AD15" s="4" t="str">
        <f>ROUND(13.66*(1+T6)*(1+T5)+T7,2)</f>
        <v>0</v>
      </c>
      <c r="AE15" s="4" t="str">
        <f>ROUND(14.11*(1+T6)*(1+T5)+T7,2)</f>
        <v>0</v>
      </c>
      <c r="AF15" s="4" t="str">
        <f>ROUND(14.55*(1+T6)*(1+T5)+T7,2)</f>
        <v>0</v>
      </c>
      <c r="AG15" s="4" t="str">
        <f>ROUND(15.05*(1+T6)*(1+T5)+T7,2)</f>
        <v>0</v>
      </c>
      <c r="AH15" s="4" t="str">
        <f>ROUND(15.55*(1+T6)*(1+T5)+T7,2)</f>
        <v>0</v>
      </c>
      <c r="AI15" s="4" t="str">
        <f>ROUND(16.74*(1+T6)*(1+T5)+T7,2)</f>
        <v>0</v>
      </c>
      <c r="AJ15" s="4" t="str">
        <f>ROUND(19.09*(1+T6)*(1+T5)+T7,2)</f>
        <v>0</v>
      </c>
      <c r="AK15" s="4" t="str">
        <f>ROUND(20.32*(1+T6)*(1+T5)+T7,2)</f>
        <v>0</v>
      </c>
      <c r="AL15" s="4" t="str">
        <f>ROUND(38.25*(1+T6)*(1+T5)+T7,2)</f>
        <v>0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>
      <c r="A16" s="4"/>
      <c r="B16" s="6"/>
      <c r="C16" s="10">
        <v>762</v>
      </c>
      <c r="D16" s="4">
        <v>12.81</v>
      </c>
      <c r="E16" s="4">
        <v>13.24</v>
      </c>
      <c r="F16" s="4">
        <v>13.71</v>
      </c>
      <c r="G16" s="4">
        <v>14.16</v>
      </c>
      <c r="H16" s="4">
        <v>14.64</v>
      </c>
      <c r="I16" s="4">
        <v>15.11</v>
      </c>
      <c r="J16" s="4">
        <v>15.55</v>
      </c>
      <c r="K16" s="4">
        <v>16</v>
      </c>
      <c r="L16" s="4">
        <v>16.55</v>
      </c>
      <c r="M16" s="4">
        <v>17.19</v>
      </c>
      <c r="N16" s="4">
        <v>20.1</v>
      </c>
      <c r="O16" s="4">
        <v>21.29</v>
      </c>
      <c r="P16" s="4">
        <v>39.11</v>
      </c>
      <c r="Q16" s="4"/>
      <c r="R16" s="4"/>
      <c r="S16" s="4"/>
      <c r="T16" s="4"/>
      <c r="U16" s="4"/>
      <c r="V16" s="4"/>
      <c r="W16" s="5"/>
      <c r="X16" s="6"/>
      <c r="Y16" s="10">
        <v>762</v>
      </c>
      <c r="Z16" s="4" t="str">
        <f>ROUND(12.81*(1+T6)*(1+T5)+T7,2)</f>
        <v>0</v>
      </c>
      <c r="AA16" s="4" t="str">
        <f>ROUND(13.24*(1+T6)*(1+T5)+T7,2)</f>
        <v>0</v>
      </c>
      <c r="AB16" s="4" t="str">
        <f>ROUND(13.71*(1+T6)*(1+T5)+T7,2)</f>
        <v>0</v>
      </c>
      <c r="AC16" s="4" t="str">
        <f>ROUND(14.16*(1+T6)*(1+T5)+T7,2)</f>
        <v>0</v>
      </c>
      <c r="AD16" s="4" t="str">
        <f>ROUND(14.64*(1+T6)*(1+T5)+T7,2)</f>
        <v>0</v>
      </c>
      <c r="AE16" s="4" t="str">
        <f>ROUND(15.11*(1+T6)*(1+T5)+T7,2)</f>
        <v>0</v>
      </c>
      <c r="AF16" s="4" t="str">
        <f>ROUND(15.55*(1+T6)*(1+T5)+T7,2)</f>
        <v>0</v>
      </c>
      <c r="AG16" s="4" t="str">
        <f>ROUND(16*(1+T6)*(1+T5)+T7,2)</f>
        <v>0</v>
      </c>
      <c r="AH16" s="4" t="str">
        <f>ROUND(16.55*(1+T6)*(1+T5)+T7,2)</f>
        <v>0</v>
      </c>
      <c r="AI16" s="4" t="str">
        <f>ROUND(17.19*(1+T6)*(1+T5)+T7,2)</f>
        <v>0</v>
      </c>
      <c r="AJ16" s="4" t="str">
        <f>ROUND(20.1*(1+T6)*(1+T5)+T7,2)</f>
        <v>0</v>
      </c>
      <c r="AK16" s="4" t="str">
        <f>ROUND(21.29*(1+T6)*(1+T5)+T7,2)</f>
        <v>0</v>
      </c>
      <c r="AL16" s="4" t="str">
        <f>ROUND(39.11*(1+T6)*(1+T5)+T7,2)</f>
        <v>0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>
      <c r="A17" s="4"/>
      <c r="B17" s="6"/>
      <c r="C17" s="10">
        <v>914</v>
      </c>
      <c r="D17" s="4">
        <v>13.78</v>
      </c>
      <c r="E17" s="4">
        <v>14.23</v>
      </c>
      <c r="F17" s="4">
        <v>14.68</v>
      </c>
      <c r="G17" s="4">
        <v>15.15</v>
      </c>
      <c r="H17" s="4">
        <v>15.62</v>
      </c>
      <c r="I17" s="4">
        <v>16.06</v>
      </c>
      <c r="J17" s="4">
        <v>16.55</v>
      </c>
      <c r="K17" s="4">
        <v>16.99</v>
      </c>
      <c r="L17" s="4">
        <v>17.51</v>
      </c>
      <c r="M17" s="4">
        <v>18.17</v>
      </c>
      <c r="N17" s="4">
        <v>21.07</v>
      </c>
      <c r="O17" s="4">
        <v>22.3</v>
      </c>
      <c r="P17" s="4">
        <v>39.98</v>
      </c>
      <c r="Q17" s="4"/>
      <c r="R17" s="4"/>
      <c r="S17" s="4"/>
      <c r="T17" s="4"/>
      <c r="U17" s="4"/>
      <c r="V17" s="4"/>
      <c r="W17" s="5"/>
      <c r="X17" s="6"/>
      <c r="Y17" s="10">
        <v>914</v>
      </c>
      <c r="Z17" s="4" t="str">
        <f>ROUND(13.78*(1+T6)*(1+T5)+T7,2)</f>
        <v>0</v>
      </c>
      <c r="AA17" s="4" t="str">
        <f>ROUND(14.23*(1+T6)*(1+T5)+T7,2)</f>
        <v>0</v>
      </c>
      <c r="AB17" s="4" t="str">
        <f>ROUND(14.68*(1+T6)*(1+T5)+T7,2)</f>
        <v>0</v>
      </c>
      <c r="AC17" s="4" t="str">
        <f>ROUND(15.15*(1+T6)*(1+T5)+T7,2)</f>
        <v>0</v>
      </c>
      <c r="AD17" s="4" t="str">
        <f>ROUND(15.62*(1+T6)*(1+T5)+T7,2)</f>
        <v>0</v>
      </c>
      <c r="AE17" s="4" t="str">
        <f>ROUND(16.06*(1+T6)*(1+T5)+T7,2)</f>
        <v>0</v>
      </c>
      <c r="AF17" s="4" t="str">
        <f>ROUND(16.55*(1+T6)*(1+T5)+T7,2)</f>
        <v>0</v>
      </c>
      <c r="AG17" s="4" t="str">
        <f>ROUND(16.99*(1+T6)*(1+T5)+T7,2)</f>
        <v>0</v>
      </c>
      <c r="AH17" s="4" t="str">
        <f>ROUND(17.51*(1+T6)*(1+T5)+T7,2)</f>
        <v>0</v>
      </c>
      <c r="AI17" s="4" t="str">
        <f>ROUND(18.17*(1+T6)*(1+T5)+T7,2)</f>
        <v>0</v>
      </c>
      <c r="AJ17" s="4" t="str">
        <f>ROUND(21.07*(1+T6)*(1+T5)+T7,2)</f>
        <v>0</v>
      </c>
      <c r="AK17" s="4" t="str">
        <f>ROUND(22.3*(1+T6)*(1+T5)+T7,2)</f>
        <v>0</v>
      </c>
      <c r="AL17" s="4" t="str">
        <f>ROUND(39.98*(1+T6)*(1+T5)+T7,2)</f>
        <v>0</v>
      </c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>
      <c r="A18" s="4"/>
      <c r="B18" s="6"/>
      <c r="C18" s="10">
        <v>1067</v>
      </c>
      <c r="D18" s="4">
        <v>14.76</v>
      </c>
      <c r="E18" s="4">
        <v>14.91</v>
      </c>
      <c r="F18" s="4">
        <v>16.17</v>
      </c>
      <c r="G18" s="4">
        <v>16.17</v>
      </c>
      <c r="H18" s="4">
        <v>17.38</v>
      </c>
      <c r="I18" s="4">
        <v>17.38</v>
      </c>
      <c r="J18" s="4">
        <v>18.62</v>
      </c>
      <c r="K18" s="4">
        <v>18.62</v>
      </c>
      <c r="L18" s="4">
        <v>19.86</v>
      </c>
      <c r="M18" s="4">
        <v>20.88</v>
      </c>
      <c r="N18" s="4">
        <v>23.31</v>
      </c>
      <c r="O18" s="4">
        <v>24.59</v>
      </c>
      <c r="P18" s="4">
        <v>40.8</v>
      </c>
      <c r="Q18" s="4"/>
      <c r="R18" s="4"/>
      <c r="S18" s="4"/>
      <c r="T18" s="4"/>
      <c r="U18" s="4"/>
      <c r="V18" s="4"/>
      <c r="W18" s="5"/>
      <c r="X18" s="6"/>
      <c r="Y18" s="10">
        <v>1067</v>
      </c>
      <c r="Z18" s="4" t="str">
        <f>ROUND(14.76*(1+T6)*(1+T5)+T7,2)</f>
        <v>0</v>
      </c>
      <c r="AA18" s="4" t="str">
        <f>ROUND(14.91*(1+T6)*(1+T5)+T7,2)</f>
        <v>0</v>
      </c>
      <c r="AB18" s="4" t="str">
        <f>ROUND(16.17*(1+T6)*(1+T5)+T7,2)</f>
        <v>0</v>
      </c>
      <c r="AC18" s="4" t="str">
        <f>ROUND(16.17*(1+T6)*(1+T5)+T7,2)</f>
        <v>0</v>
      </c>
      <c r="AD18" s="4" t="str">
        <f>ROUND(17.38*(1+T6)*(1+T5)+T7,2)</f>
        <v>0</v>
      </c>
      <c r="AE18" s="4" t="str">
        <f>ROUND(17.38*(1+T6)*(1+T5)+T7,2)</f>
        <v>0</v>
      </c>
      <c r="AF18" s="4" t="str">
        <f>ROUND(18.62*(1+T6)*(1+T5)+T7,2)</f>
        <v>0</v>
      </c>
      <c r="AG18" s="4" t="str">
        <f>ROUND(18.62*(1+T6)*(1+T5)+T7,2)</f>
        <v>0</v>
      </c>
      <c r="AH18" s="4" t="str">
        <f>ROUND(19.86*(1+T6)*(1+T5)+T7,2)</f>
        <v>0</v>
      </c>
      <c r="AI18" s="4" t="str">
        <f>ROUND(20.88*(1+T6)*(1+T5)+T7,2)</f>
        <v>0</v>
      </c>
      <c r="AJ18" s="4" t="str">
        <f>ROUND(23.31*(1+T6)*(1+T5)+T7,2)</f>
        <v>0</v>
      </c>
      <c r="AK18" s="4" t="str">
        <f>ROUND(24.59*(1+T6)*(1+T5)+T7,2)</f>
        <v>0</v>
      </c>
      <c r="AL18" s="4" t="str">
        <f>ROUND(40.8*(1+T6)*(1+T5)+T7,2)</f>
        <v>0</v>
      </c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</row>
    <row r="19" spans="1:56">
      <c r="A19" s="4"/>
      <c r="B19" s="6"/>
      <c r="C19" s="10">
        <v>1219</v>
      </c>
      <c r="D19" s="4">
        <v>15.75</v>
      </c>
      <c r="E19" s="4">
        <v>16.17</v>
      </c>
      <c r="F19" s="4">
        <v>17.38</v>
      </c>
      <c r="G19" s="4">
        <v>17.38</v>
      </c>
      <c r="H19" s="4">
        <v>18.62</v>
      </c>
      <c r="I19" s="4">
        <v>18.62</v>
      </c>
      <c r="J19" s="4">
        <v>19.86</v>
      </c>
      <c r="K19" s="4">
        <v>19.86</v>
      </c>
      <c r="L19" s="4">
        <v>21.14</v>
      </c>
      <c r="M19" s="4">
        <v>21.99</v>
      </c>
      <c r="N19" s="4">
        <v>24.36</v>
      </c>
      <c r="O19" s="4">
        <v>25.63</v>
      </c>
      <c r="P19" s="4">
        <v>42.51</v>
      </c>
      <c r="Q19" s="4"/>
      <c r="R19" s="4"/>
      <c r="S19" s="4"/>
      <c r="T19" s="4"/>
      <c r="U19" s="4"/>
      <c r="V19" s="4"/>
      <c r="W19" s="5"/>
      <c r="X19" s="6"/>
      <c r="Y19" s="10">
        <v>1219</v>
      </c>
      <c r="Z19" s="4" t="str">
        <f>ROUND(15.75*(1+T6)*(1+T5)+T7,2)</f>
        <v>0</v>
      </c>
      <c r="AA19" s="4" t="str">
        <f>ROUND(16.17*(1+T6)*(1+T5)+T7,2)</f>
        <v>0</v>
      </c>
      <c r="AB19" s="4" t="str">
        <f>ROUND(17.38*(1+T6)*(1+T5)+T7,2)</f>
        <v>0</v>
      </c>
      <c r="AC19" s="4" t="str">
        <f>ROUND(17.38*(1+T6)*(1+T5)+T7,2)</f>
        <v>0</v>
      </c>
      <c r="AD19" s="4" t="str">
        <f>ROUND(18.62*(1+T6)*(1+T5)+T7,2)</f>
        <v>0</v>
      </c>
      <c r="AE19" s="4" t="str">
        <f>ROUND(18.62*(1+T6)*(1+T5)+T7,2)</f>
        <v>0</v>
      </c>
      <c r="AF19" s="4" t="str">
        <f>ROUND(19.86*(1+T6)*(1+T5)+T7,2)</f>
        <v>0</v>
      </c>
      <c r="AG19" s="4" t="str">
        <f>ROUND(19.86*(1+T6)*(1+T5)+T7,2)</f>
        <v>0</v>
      </c>
      <c r="AH19" s="4" t="str">
        <f>ROUND(21.14*(1+T6)*(1+T5)+T7,2)</f>
        <v>0</v>
      </c>
      <c r="AI19" s="4" t="str">
        <f>ROUND(21.99*(1+T6)*(1+T5)+T7,2)</f>
        <v>0</v>
      </c>
      <c r="AJ19" s="4" t="str">
        <f>ROUND(24.36*(1+T6)*(1+T5)+T7,2)</f>
        <v>0</v>
      </c>
      <c r="AK19" s="4" t="str">
        <f>ROUND(25.63*(1+T6)*(1+T5)+T7,2)</f>
        <v>0</v>
      </c>
      <c r="AL19" s="4" t="str">
        <f>ROUND(42.51*(1+T6)*(1+T5)+T7,2)</f>
        <v>0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>
      <c r="A20" s="4"/>
      <c r="B20" s="6"/>
      <c r="C20" s="10">
        <v>1524</v>
      </c>
      <c r="D20" s="4">
        <v>17.46</v>
      </c>
      <c r="E20" s="4">
        <v>17.9</v>
      </c>
      <c r="F20" s="4">
        <v>18.62</v>
      </c>
      <c r="G20" s="4">
        <v>19.86</v>
      </c>
      <c r="H20" s="4">
        <v>19.86</v>
      </c>
      <c r="I20" s="4">
        <v>19.86</v>
      </c>
      <c r="J20" s="4">
        <v>21.14</v>
      </c>
      <c r="K20" s="4">
        <v>21.14</v>
      </c>
      <c r="L20" s="4">
        <v>22.36</v>
      </c>
      <c r="M20" s="4">
        <v>23.21</v>
      </c>
      <c r="N20" s="4">
        <v>26.45</v>
      </c>
      <c r="O20" s="4">
        <v>27.73</v>
      </c>
      <c r="P20" s="4">
        <v>44.2</v>
      </c>
      <c r="Q20" s="4"/>
      <c r="R20" s="4"/>
      <c r="S20" s="4"/>
      <c r="T20" s="4"/>
      <c r="U20" s="4"/>
      <c r="V20" s="4"/>
      <c r="W20" s="5"/>
      <c r="X20" s="6"/>
      <c r="Y20" s="10">
        <v>1524</v>
      </c>
      <c r="Z20" s="4" t="str">
        <f>ROUND(17.46*(1+T6)*(1+T5)+T7,2)</f>
        <v>0</v>
      </c>
      <c r="AA20" s="4" t="str">
        <f>ROUND(17.9*(1+T6)*(1+T5)+T7,2)</f>
        <v>0</v>
      </c>
      <c r="AB20" s="4" t="str">
        <f>ROUND(18.62*(1+T6)*(1+T5)+T7,2)</f>
        <v>0</v>
      </c>
      <c r="AC20" s="4" t="str">
        <f>ROUND(19.86*(1+T6)*(1+T5)+T7,2)</f>
        <v>0</v>
      </c>
      <c r="AD20" s="4" t="str">
        <f>ROUND(19.86*(1+T6)*(1+T5)+T7,2)</f>
        <v>0</v>
      </c>
      <c r="AE20" s="4" t="str">
        <f>ROUND(19.86*(1+T6)*(1+T5)+T7,2)</f>
        <v>0</v>
      </c>
      <c r="AF20" s="4" t="str">
        <f>ROUND(21.14*(1+T6)*(1+T5)+T7,2)</f>
        <v>0</v>
      </c>
      <c r="AG20" s="4" t="str">
        <f>ROUND(21.14*(1+T6)*(1+T5)+T7,2)</f>
        <v>0</v>
      </c>
      <c r="AH20" s="4" t="str">
        <f>ROUND(22.36*(1+T6)*(1+T5)+T7,2)</f>
        <v>0</v>
      </c>
      <c r="AI20" s="4" t="str">
        <f>ROUND(23.21*(1+T6)*(1+T5)+T7,2)</f>
        <v>0</v>
      </c>
      <c r="AJ20" s="4" t="str">
        <f>ROUND(26.45*(1+T6)*(1+T5)+T7,2)</f>
        <v>0</v>
      </c>
      <c r="AK20" s="4" t="str">
        <f>ROUND(27.73*(1+T6)*(1+T5)+T7,2)</f>
        <v>0</v>
      </c>
      <c r="AL20" s="4" t="str">
        <f>ROUND(44.2*(1+T6)*(1+T5)+T7,2)</f>
        <v>0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>
      <c r="A21" s="4"/>
      <c r="B21" s="6"/>
      <c r="C21" s="10">
        <v>1829</v>
      </c>
      <c r="D21" s="4">
        <v>19.67</v>
      </c>
      <c r="E21" s="4">
        <v>19.86</v>
      </c>
      <c r="F21" s="4">
        <v>21.14</v>
      </c>
      <c r="G21" s="4">
        <v>21.14</v>
      </c>
      <c r="H21" s="4">
        <v>21.14</v>
      </c>
      <c r="I21" s="4">
        <v>21.14</v>
      </c>
      <c r="J21" s="4">
        <v>22.36</v>
      </c>
      <c r="K21" s="4">
        <v>22.36</v>
      </c>
      <c r="L21" s="4">
        <v>23.53</v>
      </c>
      <c r="M21" s="4">
        <v>24.43</v>
      </c>
      <c r="N21" s="4">
        <v>28.56</v>
      </c>
      <c r="O21" s="4">
        <v>29.84</v>
      </c>
      <c r="P21" s="4">
        <v>55.28</v>
      </c>
      <c r="Q21" s="4"/>
      <c r="R21" s="4"/>
      <c r="S21" s="4"/>
      <c r="T21" s="4"/>
      <c r="U21" s="4"/>
      <c r="V21" s="4"/>
      <c r="W21" s="5"/>
      <c r="X21" s="6"/>
      <c r="Y21" s="10">
        <v>1829</v>
      </c>
      <c r="Z21" s="4" t="str">
        <f>ROUND(19.67*(1+T6)*(1+T5)+T7,2)</f>
        <v>0</v>
      </c>
      <c r="AA21" s="4" t="str">
        <f>ROUND(19.86*(1+T6)*(1+T5)+T7,2)</f>
        <v>0</v>
      </c>
      <c r="AB21" s="4" t="str">
        <f>ROUND(21.14*(1+T6)*(1+T5)+T7,2)</f>
        <v>0</v>
      </c>
      <c r="AC21" s="4" t="str">
        <f>ROUND(21.14*(1+T6)*(1+T5)+T7,2)</f>
        <v>0</v>
      </c>
      <c r="AD21" s="4" t="str">
        <f>ROUND(21.14*(1+T6)*(1+T5)+T7,2)</f>
        <v>0</v>
      </c>
      <c r="AE21" s="4" t="str">
        <f>ROUND(21.14*(1+T6)*(1+T5)+T7,2)</f>
        <v>0</v>
      </c>
      <c r="AF21" s="4" t="str">
        <f>ROUND(22.36*(1+T6)*(1+T5)+T7,2)</f>
        <v>0</v>
      </c>
      <c r="AG21" s="4" t="str">
        <f>ROUND(22.36*(1+T6)*(1+T5)+T7,2)</f>
        <v>0</v>
      </c>
      <c r="AH21" s="4" t="str">
        <f>ROUND(23.53*(1+T6)*(1+T5)+T7,2)</f>
        <v>0</v>
      </c>
      <c r="AI21" s="4" t="str">
        <f>ROUND(24.43*(1+T6)*(1+T5)+T7,2)</f>
        <v>0</v>
      </c>
      <c r="AJ21" s="4" t="str">
        <f>ROUND(28.56*(1+T6)*(1+T5)+T7,2)</f>
        <v>0</v>
      </c>
      <c r="AK21" s="4" t="str">
        <f>ROUND(29.84*(1+T6)*(1+T5)+T7,2)</f>
        <v>0</v>
      </c>
      <c r="AL21" s="4" t="str">
        <f>ROUND(55.28*(1+T6)*(1+T5)+T7,2)</f>
        <v>0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>
      <c r="A22" s="4"/>
      <c r="B22" s="6"/>
      <c r="C22" s="10">
        <v>2134</v>
      </c>
      <c r="D22" s="4">
        <v>21.66</v>
      </c>
      <c r="E22" s="4">
        <v>22.36</v>
      </c>
      <c r="F22" s="4">
        <v>23.59</v>
      </c>
      <c r="G22" s="4">
        <v>23.59</v>
      </c>
      <c r="H22" s="4">
        <v>24.83</v>
      </c>
      <c r="I22" s="4">
        <v>24.83</v>
      </c>
      <c r="J22" s="4">
        <v>24.83</v>
      </c>
      <c r="K22" s="4">
        <v>26.09</v>
      </c>
      <c r="L22" s="4">
        <v>26.09</v>
      </c>
      <c r="M22" s="4">
        <v>26.9</v>
      </c>
      <c r="N22" s="4">
        <v>43.48</v>
      </c>
      <c r="O22" s="4">
        <v>44.75</v>
      </c>
      <c r="P22" s="4">
        <v>57.82</v>
      </c>
      <c r="Q22" s="4"/>
      <c r="R22" s="4"/>
      <c r="S22" s="4"/>
      <c r="T22" s="4"/>
      <c r="U22" s="4"/>
      <c r="V22" s="4"/>
      <c r="W22" s="5"/>
      <c r="X22" s="6"/>
      <c r="Y22" s="10">
        <v>2134</v>
      </c>
      <c r="Z22" s="4" t="str">
        <f>ROUND(21.66*(1+T6)*(1+T5)+T7,2)</f>
        <v>0</v>
      </c>
      <c r="AA22" s="4" t="str">
        <f>ROUND(22.36*(1+T6)*(1+T5)+T7,2)</f>
        <v>0</v>
      </c>
      <c r="AB22" s="4" t="str">
        <f>ROUND(23.59*(1+T6)*(1+T5)+T7,2)</f>
        <v>0</v>
      </c>
      <c r="AC22" s="4" t="str">
        <f>ROUND(23.59*(1+T6)*(1+T5)+T7,2)</f>
        <v>0</v>
      </c>
      <c r="AD22" s="4" t="str">
        <f>ROUND(24.83*(1+T6)*(1+T5)+T7,2)</f>
        <v>0</v>
      </c>
      <c r="AE22" s="4" t="str">
        <f>ROUND(24.83*(1+T6)*(1+T5)+T7,2)</f>
        <v>0</v>
      </c>
      <c r="AF22" s="4" t="str">
        <f>ROUND(24.83*(1+T6)*(1+T5)+T7,2)</f>
        <v>0</v>
      </c>
      <c r="AG22" s="4" t="str">
        <f>ROUND(26.09*(1+T6)*(1+T5)+T7,2)</f>
        <v>0</v>
      </c>
      <c r="AH22" s="4" t="str">
        <f>ROUND(26.09*(1+T6)*(1+T5)+T7,2)</f>
        <v>0</v>
      </c>
      <c r="AI22" s="4" t="str">
        <f>ROUND(26.9*(1+T6)*(1+T5)+T7,2)</f>
        <v>0</v>
      </c>
      <c r="AJ22" s="4" t="str">
        <f>ROUND(43.48*(1+T6)*(1+T5)+T7,2)</f>
        <v>0</v>
      </c>
      <c r="AK22" s="4" t="str">
        <f>ROUND(44.75*(1+T6)*(1+T5)+T7,2)</f>
        <v>0</v>
      </c>
      <c r="AL22" s="4" t="str">
        <f>ROUND(57.82*(1+T6)*(1+T5)+T7,2)</f>
        <v>0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>
      <c r="A23" s="4"/>
      <c r="B23" s="6"/>
      <c r="C23" s="10">
        <v>2438</v>
      </c>
      <c r="D23" s="4">
        <v>23.28</v>
      </c>
      <c r="E23" s="4">
        <v>23.53</v>
      </c>
      <c r="F23" s="4">
        <v>24.83</v>
      </c>
      <c r="G23" s="4">
        <v>24.83</v>
      </c>
      <c r="H23" s="4">
        <v>26.09</v>
      </c>
      <c r="I23" s="4">
        <v>26.09</v>
      </c>
      <c r="J23" s="4">
        <v>26.09</v>
      </c>
      <c r="K23" s="4">
        <v>27.32</v>
      </c>
      <c r="L23" s="4">
        <v>27.32</v>
      </c>
      <c r="M23" s="4">
        <v>27.79</v>
      </c>
      <c r="N23" s="4">
        <v>47.57</v>
      </c>
      <c r="O23" s="4">
        <v>48.86</v>
      </c>
      <c r="P23" s="4">
        <v>60.33</v>
      </c>
      <c r="Q23" s="4"/>
      <c r="R23" s="4"/>
      <c r="S23" s="4"/>
      <c r="T23" s="4"/>
      <c r="U23" s="4"/>
      <c r="V23" s="4"/>
      <c r="W23" s="5"/>
      <c r="X23" s="6"/>
      <c r="Y23" s="10">
        <v>2438</v>
      </c>
      <c r="Z23" s="4" t="str">
        <f>ROUND(23.28*(1+T6)*(1+T5)+T7,2)</f>
        <v>0</v>
      </c>
      <c r="AA23" s="4" t="str">
        <f>ROUND(23.53*(1+T6)*(1+T5)+T7,2)</f>
        <v>0</v>
      </c>
      <c r="AB23" s="4" t="str">
        <f>ROUND(24.83*(1+T6)*(1+T5)+T7,2)</f>
        <v>0</v>
      </c>
      <c r="AC23" s="4" t="str">
        <f>ROUND(24.83*(1+T6)*(1+T5)+T7,2)</f>
        <v>0</v>
      </c>
      <c r="AD23" s="4" t="str">
        <f>ROUND(26.09*(1+T6)*(1+T5)+T7,2)</f>
        <v>0</v>
      </c>
      <c r="AE23" s="4" t="str">
        <f>ROUND(26.09*(1+T6)*(1+T5)+T7,2)</f>
        <v>0</v>
      </c>
      <c r="AF23" s="4" t="str">
        <f>ROUND(26.09*(1+T6)*(1+T5)+T7,2)</f>
        <v>0</v>
      </c>
      <c r="AG23" s="4" t="str">
        <f>ROUND(27.32*(1+T6)*(1+T5)+T7,2)</f>
        <v>0</v>
      </c>
      <c r="AH23" s="4" t="str">
        <f>ROUND(27.32*(1+T6)*(1+T5)+T7,2)</f>
        <v>0</v>
      </c>
      <c r="AI23" s="4" t="str">
        <f>ROUND(27.79*(1+T6)*(1+T5)+T7,2)</f>
        <v>0</v>
      </c>
      <c r="AJ23" s="4" t="str">
        <f>ROUND(47.57*(1+T6)*(1+T5)+T7,2)</f>
        <v>0</v>
      </c>
      <c r="AK23" s="4" t="str">
        <f>ROUND(48.86*(1+T6)*(1+T5)+T7,2)</f>
        <v>0</v>
      </c>
      <c r="AL23" s="4" t="str">
        <f>ROUND(60.33*(1+T6)*(1+T5)+T7,2)</f>
        <v>0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5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r="25" spans="1:56">
      <c r="A25" s="4"/>
      <c r="B25" s="5"/>
      <c r="C25" s="8" t="s">
        <v>18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4"/>
      <c r="R25" s="4"/>
      <c r="S25" s="4"/>
      <c r="T25" s="4"/>
      <c r="U25" s="4"/>
      <c r="V25" s="4"/>
      <c r="W25" s="5"/>
      <c r="X25" s="5"/>
      <c r="Y25" s="8" t="s">
        <v>18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>
      <c r="A26" s="4"/>
      <c r="B26" s="5"/>
      <c r="C26" s="8" t="s">
        <v>19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4"/>
      <c r="R26" s="4"/>
      <c r="S26" s="4"/>
      <c r="T26" s="4"/>
      <c r="U26" s="4"/>
      <c r="V26" s="4"/>
      <c r="W26" s="5"/>
      <c r="X26" s="5"/>
      <c r="Y26" s="8" t="s">
        <v>19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 spans="1:56">
      <c r="A27" s="4"/>
      <c r="B27" s="5"/>
      <c r="C27" s="9" t="s">
        <v>15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4"/>
      <c r="R27" s="4"/>
      <c r="S27" s="4"/>
      <c r="T27" s="4"/>
      <c r="U27" s="4"/>
      <c r="V27" s="4"/>
      <c r="W27" s="5"/>
      <c r="X27" s="5"/>
      <c r="Y27" s="9" t="s">
        <v>15</v>
      </c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>
      <c r="A28" s="4"/>
      <c r="B28" s="6"/>
      <c r="C28" s="10" t="s">
        <v>16</v>
      </c>
      <c r="D28" s="10">
        <v>610</v>
      </c>
      <c r="E28" s="10">
        <v>762</v>
      </c>
      <c r="F28" s="10">
        <v>914</v>
      </c>
      <c r="G28" s="10">
        <v>1067</v>
      </c>
      <c r="H28" s="10">
        <v>1219</v>
      </c>
      <c r="I28" s="10">
        <v>1376</v>
      </c>
      <c r="J28" s="10">
        <v>1524</v>
      </c>
      <c r="K28" s="10">
        <v>1676</v>
      </c>
      <c r="L28" s="10">
        <v>1829</v>
      </c>
      <c r="M28" s="10">
        <v>1981</v>
      </c>
      <c r="N28" s="10">
        <v>2134</v>
      </c>
      <c r="O28" s="10">
        <v>2438</v>
      </c>
      <c r="P28" s="10">
        <v>2800</v>
      </c>
      <c r="Q28" s="4"/>
      <c r="R28" s="4"/>
      <c r="S28" s="4"/>
      <c r="T28" s="4"/>
      <c r="U28" s="4"/>
      <c r="V28" s="4"/>
      <c r="W28" s="5"/>
      <c r="X28" s="6"/>
      <c r="Y28" s="10" t="s">
        <v>16</v>
      </c>
      <c r="Z28" s="10">
        <v>610</v>
      </c>
      <c r="AA28" s="10">
        <v>762</v>
      </c>
      <c r="AB28" s="10">
        <v>914</v>
      </c>
      <c r="AC28" s="10">
        <v>1067</v>
      </c>
      <c r="AD28" s="10">
        <v>1219</v>
      </c>
      <c r="AE28" s="10">
        <v>1376</v>
      </c>
      <c r="AF28" s="10">
        <v>1524</v>
      </c>
      <c r="AG28" s="10">
        <v>1676</v>
      </c>
      <c r="AH28" s="10">
        <v>1829</v>
      </c>
      <c r="AI28" s="10">
        <v>1981</v>
      </c>
      <c r="AJ28" s="10">
        <v>2134</v>
      </c>
      <c r="AK28" s="10">
        <v>2438</v>
      </c>
      <c r="AL28" s="10">
        <v>2800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 spans="1:56">
      <c r="A29" s="4"/>
      <c r="B29" s="6" t="s">
        <v>17</v>
      </c>
      <c r="C29" s="10">
        <v>610</v>
      </c>
      <c r="D29" s="4">
        <v>13.29</v>
      </c>
      <c r="E29" s="4">
        <v>13.78</v>
      </c>
      <c r="F29" s="4">
        <v>14.34</v>
      </c>
      <c r="G29" s="4">
        <v>14.3</v>
      </c>
      <c r="H29" s="4">
        <v>14.81</v>
      </c>
      <c r="I29" s="4">
        <v>15.28</v>
      </c>
      <c r="J29" s="4">
        <v>15.79</v>
      </c>
      <c r="K29" s="4">
        <v>16.3</v>
      </c>
      <c r="L29" s="4">
        <v>16.86</v>
      </c>
      <c r="M29" s="4">
        <v>18.16</v>
      </c>
      <c r="N29" s="4">
        <v>20.71</v>
      </c>
      <c r="O29" s="4">
        <v>22.01</v>
      </c>
      <c r="P29" s="4">
        <v>41.47</v>
      </c>
      <c r="Q29" s="4"/>
      <c r="R29" s="4"/>
      <c r="S29" s="4"/>
      <c r="T29" s="4"/>
      <c r="U29" s="4"/>
      <c r="V29" s="4"/>
      <c r="W29" s="5"/>
      <c r="X29" s="6" t="s">
        <v>17</v>
      </c>
      <c r="Y29" s="10">
        <v>610</v>
      </c>
      <c r="Z29" s="4" t="str">
        <f>ROUND(13.29*(1+T6)*(1+T5)+T7,2)</f>
        <v>0</v>
      </c>
      <c r="AA29" s="4" t="str">
        <f>ROUND(13.78*(1+T6)*(1+T5)+T7,2)</f>
        <v>0</v>
      </c>
      <c r="AB29" s="4" t="str">
        <f>ROUND(14.34*(1+T6)*(1+T5)+T7,2)</f>
        <v>0</v>
      </c>
      <c r="AC29" s="4" t="str">
        <f>ROUND(14.3*(1+T6)*(1+T5)+T7,2)</f>
        <v>0</v>
      </c>
      <c r="AD29" s="4" t="str">
        <f>ROUND(14.81*(1+T6)*(1+T5)+T7,2)</f>
        <v>0</v>
      </c>
      <c r="AE29" s="4" t="str">
        <f>ROUND(15.28*(1+T6)*(1+T5)+T7,2)</f>
        <v>0</v>
      </c>
      <c r="AF29" s="4" t="str">
        <f>ROUND(15.79*(1+T6)*(1+T5)+T7,2)</f>
        <v>0</v>
      </c>
      <c r="AG29" s="4" t="str">
        <f>ROUND(16.3*(1+T6)*(1+T5)+T7,2)</f>
        <v>0</v>
      </c>
      <c r="AH29" s="4" t="str">
        <f>ROUND(16.86*(1+T6)*(1+T5)+T7,2)</f>
        <v>0</v>
      </c>
      <c r="AI29" s="4" t="str">
        <f>ROUND(18.16*(1+T6)*(1+T5)+T7,2)</f>
        <v>0</v>
      </c>
      <c r="AJ29" s="4" t="str">
        <f>ROUND(20.71*(1+T6)*(1+T5)+T7,2)</f>
        <v>0</v>
      </c>
      <c r="AK29" s="4" t="str">
        <f>ROUND(22.01*(1+T6)*(1+T5)+T7,2)</f>
        <v>0</v>
      </c>
      <c r="AL29" s="4" t="str">
        <f>ROUND(41.47*(1+T6)*(1+T5)+T7,2)</f>
        <v>0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56">
      <c r="A30" s="4"/>
      <c r="B30" s="6"/>
      <c r="C30" s="10">
        <v>762</v>
      </c>
      <c r="D30" s="4">
        <v>13.88</v>
      </c>
      <c r="E30" s="4">
        <v>14.36</v>
      </c>
      <c r="F30" s="4">
        <v>14.87</v>
      </c>
      <c r="G30" s="4">
        <v>15.38</v>
      </c>
      <c r="H30" s="4">
        <v>15.88</v>
      </c>
      <c r="I30" s="4">
        <v>16.36</v>
      </c>
      <c r="J30" s="4">
        <v>16.86</v>
      </c>
      <c r="K30" s="4">
        <v>17.34</v>
      </c>
      <c r="L30" s="4">
        <v>17.94</v>
      </c>
      <c r="M30" s="4">
        <v>18.64</v>
      </c>
      <c r="N30" s="4">
        <v>21.8</v>
      </c>
      <c r="O30" s="4">
        <v>23.09</v>
      </c>
      <c r="P30" s="4">
        <v>42.42</v>
      </c>
      <c r="Q30" s="4"/>
      <c r="R30" s="4"/>
      <c r="S30" s="4"/>
      <c r="T30" s="4"/>
      <c r="U30" s="4"/>
      <c r="V30" s="4"/>
      <c r="W30" s="5"/>
      <c r="X30" s="6"/>
      <c r="Y30" s="10">
        <v>762</v>
      </c>
      <c r="Z30" s="4" t="str">
        <f>ROUND(13.88*(1+T6)*(1+T5)+T7,2)</f>
        <v>0</v>
      </c>
      <c r="AA30" s="4" t="str">
        <f>ROUND(14.36*(1+T6)*(1+T5)+T7,2)</f>
        <v>0</v>
      </c>
      <c r="AB30" s="4" t="str">
        <f>ROUND(14.87*(1+T6)*(1+T5)+T7,2)</f>
        <v>0</v>
      </c>
      <c r="AC30" s="4" t="str">
        <f>ROUND(15.38*(1+T6)*(1+T5)+T7,2)</f>
        <v>0</v>
      </c>
      <c r="AD30" s="4" t="str">
        <f>ROUND(15.88*(1+T6)*(1+T5)+T7,2)</f>
        <v>0</v>
      </c>
      <c r="AE30" s="4" t="str">
        <f>ROUND(16.36*(1+T6)*(1+T5)+T7,2)</f>
        <v>0</v>
      </c>
      <c r="AF30" s="4" t="str">
        <f>ROUND(16.86*(1+T6)*(1+T5)+T7,2)</f>
        <v>0</v>
      </c>
      <c r="AG30" s="4" t="str">
        <f>ROUND(17.34*(1+T6)*(1+T5)+T7,2)</f>
        <v>0</v>
      </c>
      <c r="AH30" s="4" t="str">
        <f>ROUND(17.94*(1+T6)*(1+T5)+T7,2)</f>
        <v>0</v>
      </c>
      <c r="AI30" s="4" t="str">
        <f>ROUND(18.64*(1+T6)*(1+T5)+T7,2)</f>
        <v>0</v>
      </c>
      <c r="AJ30" s="4" t="str">
        <f>ROUND(21.8*(1+T6)*(1+T5)+T7,2)</f>
        <v>0</v>
      </c>
      <c r="AK30" s="4" t="str">
        <f>ROUND(23.09*(1+T6)*(1+T5)+T7,2)</f>
        <v>0</v>
      </c>
      <c r="AL30" s="4" t="str">
        <f>ROUND(42.42*(1+T6)*(1+T5)+T7,2)</f>
        <v>0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 spans="1:56">
      <c r="A31" s="4"/>
      <c r="B31" s="6"/>
      <c r="C31" s="10">
        <v>914</v>
      </c>
      <c r="D31" s="4">
        <v>14.93</v>
      </c>
      <c r="E31" s="4">
        <v>15.44</v>
      </c>
      <c r="F31" s="4">
        <v>15.93</v>
      </c>
      <c r="G31" s="4">
        <v>16.43</v>
      </c>
      <c r="H31" s="4">
        <v>16.92</v>
      </c>
      <c r="I31" s="4">
        <v>17.44</v>
      </c>
      <c r="J31" s="4">
        <v>17.94</v>
      </c>
      <c r="K31" s="4">
        <v>18.42</v>
      </c>
      <c r="L31" s="4">
        <v>18.98</v>
      </c>
      <c r="M31" s="4">
        <v>19.69</v>
      </c>
      <c r="N31" s="4">
        <v>22.84</v>
      </c>
      <c r="O31" s="4">
        <v>24.19</v>
      </c>
      <c r="P31" s="4">
        <v>43.32</v>
      </c>
      <c r="Q31" s="4"/>
      <c r="R31" s="4"/>
      <c r="S31" s="4"/>
      <c r="T31" s="4"/>
      <c r="U31" s="4"/>
      <c r="V31" s="4"/>
      <c r="W31" s="5"/>
      <c r="X31" s="6"/>
      <c r="Y31" s="10">
        <v>914</v>
      </c>
      <c r="Z31" s="4" t="str">
        <f>ROUND(14.93*(1+T6)*(1+T5)+T7,2)</f>
        <v>0</v>
      </c>
      <c r="AA31" s="4" t="str">
        <f>ROUND(15.44*(1+T6)*(1+T5)+T7,2)</f>
        <v>0</v>
      </c>
      <c r="AB31" s="4" t="str">
        <f>ROUND(15.93*(1+T6)*(1+T5)+T7,2)</f>
        <v>0</v>
      </c>
      <c r="AC31" s="4" t="str">
        <f>ROUND(16.43*(1+T6)*(1+T5)+T7,2)</f>
        <v>0</v>
      </c>
      <c r="AD31" s="4" t="str">
        <f>ROUND(16.92*(1+T6)*(1+T5)+T7,2)</f>
        <v>0</v>
      </c>
      <c r="AE31" s="4" t="str">
        <f>ROUND(17.44*(1+T6)*(1+T5)+T7,2)</f>
        <v>0</v>
      </c>
      <c r="AF31" s="4" t="str">
        <f>ROUND(17.94*(1+T6)*(1+T5)+T7,2)</f>
        <v>0</v>
      </c>
      <c r="AG31" s="4" t="str">
        <f>ROUND(18.42*(1+T6)*(1+T5)+T7,2)</f>
        <v>0</v>
      </c>
      <c r="AH31" s="4" t="str">
        <f>ROUND(18.98*(1+T6)*(1+T5)+T7,2)</f>
        <v>0</v>
      </c>
      <c r="AI31" s="4" t="str">
        <f>ROUND(19.69*(1+T6)*(1+T5)+T7,2)</f>
        <v>0</v>
      </c>
      <c r="AJ31" s="4" t="str">
        <f>ROUND(22.84*(1+T6)*(1+T5)+T7,2)</f>
        <v>0</v>
      </c>
      <c r="AK31" s="4" t="str">
        <f>ROUND(24.19*(1+T6)*(1+T5)+T7,2)</f>
        <v>0</v>
      </c>
      <c r="AL31" s="4" t="str">
        <f>ROUND(43.32*(1+T6)*(1+T5)+T7,2)</f>
        <v>0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 spans="1:56">
      <c r="A32" s="4"/>
      <c r="B32" s="6"/>
      <c r="C32" s="10">
        <v>1067</v>
      </c>
      <c r="D32" s="4">
        <v>16</v>
      </c>
      <c r="E32" s="4">
        <v>16.17</v>
      </c>
      <c r="F32" s="4">
        <v>17.52</v>
      </c>
      <c r="G32" s="4">
        <v>17.52</v>
      </c>
      <c r="H32" s="4">
        <v>18.84</v>
      </c>
      <c r="I32" s="4">
        <v>18.84</v>
      </c>
      <c r="J32" s="4">
        <v>20.19</v>
      </c>
      <c r="K32" s="4">
        <v>20.19</v>
      </c>
      <c r="L32" s="4">
        <v>21.54</v>
      </c>
      <c r="M32" s="4">
        <v>22.65</v>
      </c>
      <c r="N32" s="4">
        <v>25.28</v>
      </c>
      <c r="O32" s="4">
        <v>26.65</v>
      </c>
      <c r="P32" s="4">
        <v>44.25</v>
      </c>
      <c r="Q32" s="4"/>
      <c r="R32" s="4"/>
      <c r="S32" s="4"/>
      <c r="T32" s="4"/>
      <c r="U32" s="4"/>
      <c r="V32" s="4"/>
      <c r="W32" s="5"/>
      <c r="X32" s="6"/>
      <c r="Y32" s="10">
        <v>1067</v>
      </c>
      <c r="Z32" s="4" t="str">
        <f>ROUND(16*(1+T6)*(1+T5)+T7,2)</f>
        <v>0</v>
      </c>
      <c r="AA32" s="4" t="str">
        <f>ROUND(16.17*(1+T6)*(1+T5)+T7,2)</f>
        <v>0</v>
      </c>
      <c r="AB32" s="4" t="str">
        <f>ROUND(17.52*(1+T6)*(1+T5)+T7,2)</f>
        <v>0</v>
      </c>
      <c r="AC32" s="4" t="str">
        <f>ROUND(17.52*(1+T6)*(1+T5)+T7,2)</f>
        <v>0</v>
      </c>
      <c r="AD32" s="4" t="str">
        <f>ROUND(18.84*(1+T6)*(1+T5)+T7,2)</f>
        <v>0</v>
      </c>
      <c r="AE32" s="4" t="str">
        <f>ROUND(18.84*(1+T6)*(1+T5)+T7,2)</f>
        <v>0</v>
      </c>
      <c r="AF32" s="4" t="str">
        <f>ROUND(20.19*(1+T6)*(1+T5)+T7,2)</f>
        <v>0</v>
      </c>
      <c r="AG32" s="4" t="str">
        <f>ROUND(20.19*(1+T6)*(1+T5)+T7,2)</f>
        <v>0</v>
      </c>
      <c r="AH32" s="4" t="str">
        <f>ROUND(21.54*(1+T6)*(1+T5)+T7,2)</f>
        <v>0</v>
      </c>
      <c r="AI32" s="4" t="str">
        <f>ROUND(22.65*(1+T6)*(1+T5)+T7,2)</f>
        <v>0</v>
      </c>
      <c r="AJ32" s="4" t="str">
        <f>ROUND(25.28*(1+T6)*(1+T5)+T7,2)</f>
        <v>0</v>
      </c>
      <c r="AK32" s="4" t="str">
        <f>ROUND(26.65*(1+T6)*(1+T5)+T7,2)</f>
        <v>0</v>
      </c>
      <c r="AL32" s="4" t="str">
        <f>ROUND(44.25*(1+T6)*(1+T5)+T7,2)</f>
        <v>0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 spans="1:56">
      <c r="A33" s="4"/>
      <c r="B33" s="6"/>
      <c r="C33" s="10">
        <v>1219</v>
      </c>
      <c r="D33" s="4">
        <v>17.08</v>
      </c>
      <c r="E33" s="4">
        <v>17.52</v>
      </c>
      <c r="F33" s="4">
        <v>18.84</v>
      </c>
      <c r="G33" s="4">
        <v>18.84</v>
      </c>
      <c r="H33" s="4">
        <v>20.19</v>
      </c>
      <c r="I33" s="4">
        <v>20.19</v>
      </c>
      <c r="J33" s="4">
        <v>21.54</v>
      </c>
      <c r="K33" s="4">
        <v>21.54</v>
      </c>
      <c r="L33" s="4">
        <v>22.92</v>
      </c>
      <c r="M33" s="4">
        <v>23.85</v>
      </c>
      <c r="N33" s="4">
        <v>26.42</v>
      </c>
      <c r="O33" s="4">
        <v>27.78</v>
      </c>
      <c r="P33" s="4">
        <v>46.1</v>
      </c>
      <c r="Q33" s="4"/>
      <c r="R33" s="4"/>
      <c r="S33" s="4"/>
      <c r="T33" s="4"/>
      <c r="U33" s="4"/>
      <c r="V33" s="4"/>
      <c r="W33" s="5"/>
      <c r="X33" s="6"/>
      <c r="Y33" s="10">
        <v>1219</v>
      </c>
      <c r="Z33" s="4" t="str">
        <f>ROUND(17.08*(1+T6)*(1+T5)+T7,2)</f>
        <v>0</v>
      </c>
      <c r="AA33" s="4" t="str">
        <f>ROUND(17.52*(1+T6)*(1+T5)+T7,2)</f>
        <v>0</v>
      </c>
      <c r="AB33" s="4" t="str">
        <f>ROUND(18.84*(1+T6)*(1+T5)+T7,2)</f>
        <v>0</v>
      </c>
      <c r="AC33" s="4" t="str">
        <f>ROUND(18.84*(1+T6)*(1+T5)+T7,2)</f>
        <v>0</v>
      </c>
      <c r="AD33" s="4" t="str">
        <f>ROUND(20.19*(1+T6)*(1+T5)+T7,2)</f>
        <v>0</v>
      </c>
      <c r="AE33" s="4" t="str">
        <f>ROUND(20.19*(1+T6)*(1+T5)+T7,2)</f>
        <v>0</v>
      </c>
      <c r="AF33" s="4" t="str">
        <f>ROUND(21.54*(1+T6)*(1+T5)+T7,2)</f>
        <v>0</v>
      </c>
      <c r="AG33" s="4" t="str">
        <f>ROUND(21.54*(1+T6)*(1+T5)+T7,2)</f>
        <v>0</v>
      </c>
      <c r="AH33" s="4" t="str">
        <f>ROUND(22.92*(1+T6)*(1+T5)+T7,2)</f>
        <v>0</v>
      </c>
      <c r="AI33" s="4" t="str">
        <f>ROUND(23.85*(1+T6)*(1+T5)+T7,2)</f>
        <v>0</v>
      </c>
      <c r="AJ33" s="4" t="str">
        <f>ROUND(26.42*(1+T6)*(1+T5)+T7,2)</f>
        <v>0</v>
      </c>
      <c r="AK33" s="4" t="str">
        <f>ROUND(27.78*(1+T6)*(1+T5)+T7,2)</f>
        <v>0</v>
      </c>
      <c r="AL33" s="4" t="str">
        <f>ROUND(46.1*(1+T6)*(1+T5)+T7,2)</f>
        <v>0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1:56">
      <c r="A34" s="4"/>
      <c r="B34" s="6"/>
      <c r="C34" s="10">
        <v>1524</v>
      </c>
      <c r="D34" s="4">
        <v>18.93</v>
      </c>
      <c r="E34" s="4">
        <v>19.41</v>
      </c>
      <c r="F34" s="4">
        <v>20.19</v>
      </c>
      <c r="G34" s="4">
        <v>21.54</v>
      </c>
      <c r="H34" s="4">
        <v>21.54</v>
      </c>
      <c r="I34" s="4">
        <v>21.54</v>
      </c>
      <c r="J34" s="4">
        <v>22.92</v>
      </c>
      <c r="K34" s="4">
        <v>22.92</v>
      </c>
      <c r="L34" s="4">
        <v>24.24</v>
      </c>
      <c r="M34" s="4">
        <v>25.18</v>
      </c>
      <c r="N34" s="4">
        <v>28.68</v>
      </c>
      <c r="O34" s="4">
        <v>30.07</v>
      </c>
      <c r="P34" s="4">
        <v>47.94</v>
      </c>
      <c r="Q34" s="4"/>
      <c r="R34" s="4"/>
      <c r="S34" s="4"/>
      <c r="T34" s="4"/>
      <c r="U34" s="4"/>
      <c r="V34" s="4"/>
      <c r="W34" s="5"/>
      <c r="X34" s="6"/>
      <c r="Y34" s="10">
        <v>1524</v>
      </c>
      <c r="Z34" s="4" t="str">
        <f>ROUND(18.93*(1+T6)*(1+T5)+T7,2)</f>
        <v>0</v>
      </c>
      <c r="AA34" s="4" t="str">
        <f>ROUND(19.41*(1+T6)*(1+T5)+T7,2)</f>
        <v>0</v>
      </c>
      <c r="AB34" s="4" t="str">
        <f>ROUND(20.19*(1+T6)*(1+T5)+T7,2)</f>
        <v>0</v>
      </c>
      <c r="AC34" s="4" t="str">
        <f>ROUND(21.54*(1+T6)*(1+T5)+T7,2)</f>
        <v>0</v>
      </c>
      <c r="AD34" s="4" t="str">
        <f>ROUND(21.54*(1+T6)*(1+T5)+T7,2)</f>
        <v>0</v>
      </c>
      <c r="AE34" s="4" t="str">
        <f>ROUND(21.54*(1+T6)*(1+T5)+T7,2)</f>
        <v>0</v>
      </c>
      <c r="AF34" s="4" t="str">
        <f>ROUND(22.92*(1+T6)*(1+T5)+T7,2)</f>
        <v>0</v>
      </c>
      <c r="AG34" s="4" t="str">
        <f>ROUND(22.92*(1+T6)*(1+T5)+T7,2)</f>
        <v>0</v>
      </c>
      <c r="AH34" s="4" t="str">
        <f>ROUND(24.24*(1+T6)*(1+T5)+T7,2)</f>
        <v>0</v>
      </c>
      <c r="AI34" s="4" t="str">
        <f>ROUND(25.18*(1+T6)*(1+T5)+T7,2)</f>
        <v>0</v>
      </c>
      <c r="AJ34" s="4" t="str">
        <f>ROUND(28.68*(1+T6)*(1+T5)+T7,2)</f>
        <v>0</v>
      </c>
      <c r="AK34" s="4" t="str">
        <f>ROUND(30.07*(1+T6)*(1+T5)+T7,2)</f>
        <v>0</v>
      </c>
      <c r="AL34" s="4" t="str">
        <f>ROUND(47.94*(1+T6)*(1+T5)+T7,2)</f>
        <v>0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 spans="1:56">
      <c r="A35" s="4"/>
      <c r="B35" s="6"/>
      <c r="C35" s="10">
        <v>1829</v>
      </c>
      <c r="D35" s="4">
        <v>21.33</v>
      </c>
      <c r="E35" s="4">
        <v>21.54</v>
      </c>
      <c r="F35" s="4">
        <v>22.92</v>
      </c>
      <c r="G35" s="4">
        <v>22.92</v>
      </c>
      <c r="H35" s="4">
        <v>22.92</v>
      </c>
      <c r="I35" s="4">
        <v>22.92</v>
      </c>
      <c r="J35" s="4">
        <v>24.24</v>
      </c>
      <c r="K35" s="4">
        <v>24.24</v>
      </c>
      <c r="L35" s="4">
        <v>25.52</v>
      </c>
      <c r="M35" s="4">
        <v>26.48</v>
      </c>
      <c r="N35" s="4">
        <v>30.95</v>
      </c>
      <c r="O35" s="4">
        <v>32.35</v>
      </c>
      <c r="P35" s="4">
        <v>59.92</v>
      </c>
      <c r="Q35" s="4"/>
      <c r="R35" s="4"/>
      <c r="S35" s="4"/>
      <c r="T35" s="4"/>
      <c r="U35" s="4"/>
      <c r="V35" s="4"/>
      <c r="W35" s="5"/>
      <c r="X35" s="6"/>
      <c r="Y35" s="10">
        <v>1829</v>
      </c>
      <c r="Z35" s="4" t="str">
        <f>ROUND(21.33*(1+T6)*(1+T5)+T7,2)</f>
        <v>0</v>
      </c>
      <c r="AA35" s="4" t="str">
        <f>ROUND(21.54*(1+T6)*(1+T5)+T7,2)</f>
        <v>0</v>
      </c>
      <c r="AB35" s="4" t="str">
        <f>ROUND(22.92*(1+T6)*(1+T5)+T7,2)</f>
        <v>0</v>
      </c>
      <c r="AC35" s="4" t="str">
        <f>ROUND(22.92*(1+T6)*(1+T5)+T7,2)</f>
        <v>0</v>
      </c>
      <c r="AD35" s="4" t="str">
        <f>ROUND(22.92*(1+T6)*(1+T5)+T7,2)</f>
        <v>0</v>
      </c>
      <c r="AE35" s="4" t="str">
        <f>ROUND(22.92*(1+T6)*(1+T5)+T7,2)</f>
        <v>0</v>
      </c>
      <c r="AF35" s="4" t="str">
        <f>ROUND(24.24*(1+T6)*(1+T5)+T7,2)</f>
        <v>0</v>
      </c>
      <c r="AG35" s="4" t="str">
        <f>ROUND(24.24*(1+T6)*(1+T5)+T7,2)</f>
        <v>0</v>
      </c>
      <c r="AH35" s="4" t="str">
        <f>ROUND(25.52*(1+T6)*(1+T5)+T7,2)</f>
        <v>0</v>
      </c>
      <c r="AI35" s="4" t="str">
        <f>ROUND(26.48*(1+T6)*(1+T5)+T7,2)</f>
        <v>0</v>
      </c>
      <c r="AJ35" s="4" t="str">
        <f>ROUND(30.95*(1+T6)*(1+T5)+T7,2)</f>
        <v>0</v>
      </c>
      <c r="AK35" s="4" t="str">
        <f>ROUND(32.35*(1+T6)*(1+T5)+T7,2)</f>
        <v>0</v>
      </c>
      <c r="AL35" s="4" t="str">
        <f>ROUND(59.92*(1+T6)*(1+T5)+T7,2)</f>
        <v>0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 spans="1:56">
      <c r="A36" s="4"/>
      <c r="B36" s="6"/>
      <c r="C36" s="10">
        <v>2134</v>
      </c>
      <c r="D36" s="4">
        <v>23.47</v>
      </c>
      <c r="E36" s="4">
        <v>24.24</v>
      </c>
      <c r="F36" s="4">
        <v>25.58</v>
      </c>
      <c r="G36" s="4">
        <v>25.58</v>
      </c>
      <c r="H36" s="4">
        <v>26.93</v>
      </c>
      <c r="I36" s="4">
        <v>26.93</v>
      </c>
      <c r="J36" s="4">
        <v>26.93</v>
      </c>
      <c r="K36" s="4">
        <v>28.29</v>
      </c>
      <c r="L36" s="4">
        <v>28.29</v>
      </c>
      <c r="M36" s="4">
        <v>29.17</v>
      </c>
      <c r="N36" s="4">
        <v>47.15</v>
      </c>
      <c r="O36" s="4">
        <v>48.52</v>
      </c>
      <c r="P36" s="4">
        <v>62.68</v>
      </c>
      <c r="Q36" s="4"/>
      <c r="R36" s="4"/>
      <c r="S36" s="4"/>
      <c r="T36" s="4"/>
      <c r="U36" s="4"/>
      <c r="V36" s="4"/>
      <c r="W36" s="5"/>
      <c r="X36" s="6"/>
      <c r="Y36" s="10">
        <v>2134</v>
      </c>
      <c r="Z36" s="4" t="str">
        <f>ROUND(23.47*(1+T6)*(1+T5)+T7,2)</f>
        <v>0</v>
      </c>
      <c r="AA36" s="4" t="str">
        <f>ROUND(24.24*(1+T6)*(1+T5)+T7,2)</f>
        <v>0</v>
      </c>
      <c r="AB36" s="4" t="str">
        <f>ROUND(25.58*(1+T6)*(1+T5)+T7,2)</f>
        <v>0</v>
      </c>
      <c r="AC36" s="4" t="str">
        <f>ROUND(25.58*(1+T6)*(1+T5)+T7,2)</f>
        <v>0</v>
      </c>
      <c r="AD36" s="4" t="str">
        <f>ROUND(26.93*(1+T6)*(1+T5)+T7,2)</f>
        <v>0</v>
      </c>
      <c r="AE36" s="4" t="str">
        <f>ROUND(26.93*(1+T6)*(1+T5)+T7,2)</f>
        <v>0</v>
      </c>
      <c r="AF36" s="4" t="str">
        <f>ROUND(26.93*(1+T6)*(1+T5)+T7,2)</f>
        <v>0</v>
      </c>
      <c r="AG36" s="4" t="str">
        <f>ROUND(28.29*(1+T6)*(1+T5)+T7,2)</f>
        <v>0</v>
      </c>
      <c r="AH36" s="4" t="str">
        <f>ROUND(28.29*(1+T6)*(1+T5)+T7,2)</f>
        <v>0</v>
      </c>
      <c r="AI36" s="4" t="str">
        <f>ROUND(29.17*(1+T6)*(1+T5)+T7,2)</f>
        <v>0</v>
      </c>
      <c r="AJ36" s="4" t="str">
        <f>ROUND(47.15*(1+T6)*(1+T5)+T7,2)</f>
        <v>0</v>
      </c>
      <c r="AK36" s="4" t="str">
        <f>ROUND(48.52*(1+T6)*(1+T5)+T7,2)</f>
        <v>0</v>
      </c>
      <c r="AL36" s="4" t="str">
        <f>ROUND(62.68*(1+T6)*(1+T5)+T7,2)</f>
        <v>0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 spans="1:56">
      <c r="A37" s="4"/>
      <c r="B37" s="6"/>
      <c r="C37" s="10">
        <v>2438</v>
      </c>
      <c r="D37" s="4">
        <v>25.25</v>
      </c>
      <c r="E37" s="4">
        <v>25.52</v>
      </c>
      <c r="F37" s="4">
        <v>26.93</v>
      </c>
      <c r="G37" s="4">
        <v>26.93</v>
      </c>
      <c r="H37" s="4">
        <v>28.29</v>
      </c>
      <c r="I37" s="4">
        <v>28.29</v>
      </c>
      <c r="J37" s="4">
        <v>28.29</v>
      </c>
      <c r="K37" s="4">
        <v>29.61</v>
      </c>
      <c r="L37" s="4">
        <v>29.61</v>
      </c>
      <c r="M37" s="4">
        <v>30.13</v>
      </c>
      <c r="N37" s="4">
        <v>51.58</v>
      </c>
      <c r="O37" s="4">
        <v>52.97</v>
      </c>
      <c r="P37" s="4">
        <v>65.43</v>
      </c>
      <c r="Q37" s="4"/>
      <c r="R37" s="4"/>
      <c r="S37" s="4"/>
      <c r="T37" s="4"/>
      <c r="U37" s="4"/>
      <c r="V37" s="4"/>
      <c r="W37" s="5"/>
      <c r="X37" s="6"/>
      <c r="Y37" s="10">
        <v>2438</v>
      </c>
      <c r="Z37" s="4" t="str">
        <f>ROUND(25.25*(1+T6)*(1+T5)+T7,2)</f>
        <v>0</v>
      </c>
      <c r="AA37" s="4" t="str">
        <f>ROUND(25.52*(1+T6)*(1+T5)+T7,2)</f>
        <v>0</v>
      </c>
      <c r="AB37" s="4" t="str">
        <f>ROUND(26.93*(1+T6)*(1+T5)+T7,2)</f>
        <v>0</v>
      </c>
      <c r="AC37" s="4" t="str">
        <f>ROUND(26.93*(1+T6)*(1+T5)+T7,2)</f>
        <v>0</v>
      </c>
      <c r="AD37" s="4" t="str">
        <f>ROUND(28.29*(1+T6)*(1+T5)+T7,2)</f>
        <v>0</v>
      </c>
      <c r="AE37" s="4" t="str">
        <f>ROUND(28.29*(1+T6)*(1+T5)+T7,2)</f>
        <v>0</v>
      </c>
      <c r="AF37" s="4" t="str">
        <f>ROUND(28.29*(1+T6)*(1+T5)+T7,2)</f>
        <v>0</v>
      </c>
      <c r="AG37" s="4" t="str">
        <f>ROUND(29.61*(1+T6)*(1+T5)+T7,2)</f>
        <v>0</v>
      </c>
      <c r="AH37" s="4" t="str">
        <f>ROUND(29.61*(1+T6)*(1+T5)+T7,2)</f>
        <v>0</v>
      </c>
      <c r="AI37" s="4" t="str">
        <f>ROUND(30.13*(1+T6)*(1+T5)+T7,2)</f>
        <v>0</v>
      </c>
      <c r="AJ37" s="4" t="str">
        <f>ROUND(51.58*(1+T6)*(1+T5)+T7,2)</f>
        <v>0</v>
      </c>
      <c r="AK37" s="4" t="str">
        <f>ROUND(52.97*(1+T6)*(1+T5)+T7,2)</f>
        <v>0</v>
      </c>
      <c r="AL37" s="4" t="str">
        <f>ROUND(65.43*(1+T6)*(1+T5)+T7,2)</f>
        <v>0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 spans="1:56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5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 spans="1:56">
      <c r="A39" s="4"/>
      <c r="B39" s="5"/>
      <c r="C39" s="8" t="s">
        <v>20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4"/>
      <c r="R39" s="4"/>
      <c r="S39" s="4"/>
      <c r="T39" s="4"/>
      <c r="U39" s="4"/>
      <c r="V39" s="4"/>
      <c r="W39" s="5"/>
      <c r="X39" s="5"/>
      <c r="Y39" s="8" t="s">
        <v>20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 spans="1:56">
      <c r="A40" s="4"/>
      <c r="B40" s="5"/>
      <c r="C40" s="8" t="s">
        <v>21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4"/>
      <c r="R40" s="4"/>
      <c r="S40" s="4"/>
      <c r="T40" s="4"/>
      <c r="U40" s="4"/>
      <c r="V40" s="4"/>
      <c r="W40" s="5"/>
      <c r="X40" s="5"/>
      <c r="Y40" s="8" t="s">
        <v>21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 spans="1:56">
      <c r="A41" s="4"/>
      <c r="B41" s="5"/>
      <c r="C41" s="9" t="s">
        <v>15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4"/>
      <c r="R41" s="4"/>
      <c r="S41" s="4"/>
      <c r="T41" s="4"/>
      <c r="U41" s="4"/>
      <c r="V41" s="4"/>
      <c r="W41" s="5"/>
      <c r="X41" s="5"/>
      <c r="Y41" s="9" t="s">
        <v>15</v>
      </c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 spans="1:56">
      <c r="A42" s="4"/>
      <c r="B42" s="6"/>
      <c r="C42" s="10" t="s">
        <v>16</v>
      </c>
      <c r="D42" s="10">
        <v>610</v>
      </c>
      <c r="E42" s="10">
        <v>762</v>
      </c>
      <c r="F42" s="10">
        <v>914</v>
      </c>
      <c r="G42" s="10">
        <v>1067</v>
      </c>
      <c r="H42" s="10">
        <v>1219</v>
      </c>
      <c r="I42" s="10">
        <v>1376</v>
      </c>
      <c r="J42" s="10">
        <v>1524</v>
      </c>
      <c r="K42" s="10">
        <v>1676</v>
      </c>
      <c r="L42" s="10">
        <v>1829</v>
      </c>
      <c r="M42" s="10">
        <v>1981</v>
      </c>
      <c r="N42" s="10">
        <v>2134</v>
      </c>
      <c r="O42" s="10">
        <v>2438</v>
      </c>
      <c r="P42" s="10">
        <v>2800</v>
      </c>
      <c r="Q42" s="4"/>
      <c r="R42" s="4"/>
      <c r="S42" s="4"/>
      <c r="T42" s="4"/>
      <c r="U42" s="4"/>
      <c r="V42" s="4"/>
      <c r="W42" s="5"/>
      <c r="X42" s="6"/>
      <c r="Y42" s="10" t="s">
        <v>16</v>
      </c>
      <c r="Z42" s="10">
        <v>610</v>
      </c>
      <c r="AA42" s="10">
        <v>762</v>
      </c>
      <c r="AB42" s="10">
        <v>914</v>
      </c>
      <c r="AC42" s="10">
        <v>1067</v>
      </c>
      <c r="AD42" s="10">
        <v>1219</v>
      </c>
      <c r="AE42" s="10">
        <v>1376</v>
      </c>
      <c r="AF42" s="10">
        <v>1524</v>
      </c>
      <c r="AG42" s="10">
        <v>1676</v>
      </c>
      <c r="AH42" s="10">
        <v>1829</v>
      </c>
      <c r="AI42" s="10">
        <v>1981</v>
      </c>
      <c r="AJ42" s="10">
        <v>2134</v>
      </c>
      <c r="AK42" s="10">
        <v>2438</v>
      </c>
      <c r="AL42" s="10">
        <v>2800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 spans="1:56">
      <c r="A43" s="4"/>
      <c r="B43" s="6" t="s">
        <v>17</v>
      </c>
      <c r="C43" s="10">
        <v>610</v>
      </c>
      <c r="D43" s="4">
        <v>16</v>
      </c>
      <c r="E43" s="4">
        <v>16.11</v>
      </c>
      <c r="F43" s="4">
        <v>16.43</v>
      </c>
      <c r="G43" s="4">
        <v>16.53</v>
      </c>
      <c r="H43" s="4">
        <v>17.01</v>
      </c>
      <c r="I43" s="4">
        <v>17.48</v>
      </c>
      <c r="J43" s="4">
        <v>17.96</v>
      </c>
      <c r="K43" s="4">
        <v>18.43</v>
      </c>
      <c r="L43" s="4">
        <v>18.98</v>
      </c>
      <c r="M43" s="4">
        <v>19.92</v>
      </c>
      <c r="N43" s="4">
        <v>23.51</v>
      </c>
      <c r="O43" s="4">
        <v>24.84</v>
      </c>
      <c r="P43" s="4">
        <v>50.69</v>
      </c>
      <c r="Q43" s="4"/>
      <c r="R43" s="4"/>
      <c r="S43" s="4"/>
      <c r="T43" s="4"/>
      <c r="U43" s="4"/>
      <c r="V43" s="4"/>
      <c r="W43" s="5"/>
      <c r="X43" s="6" t="s">
        <v>17</v>
      </c>
      <c r="Y43" s="10">
        <v>610</v>
      </c>
      <c r="Z43" s="4" t="str">
        <f>ROUND(16*(1+T6)*(1+T5)+T7,2)</f>
        <v>0</v>
      </c>
      <c r="AA43" s="4" t="str">
        <f>ROUND(16.11*(1+T6)*(1+T5)+T7,2)</f>
        <v>0</v>
      </c>
      <c r="AB43" s="4" t="str">
        <f>ROUND(16.43*(1+T6)*(1+T5)+T7,2)</f>
        <v>0</v>
      </c>
      <c r="AC43" s="4" t="str">
        <f>ROUND(16.53*(1+T6)*(1+T5)+T7,2)</f>
        <v>0</v>
      </c>
      <c r="AD43" s="4" t="str">
        <f>ROUND(17.01*(1+T6)*(1+T5)+T7,2)</f>
        <v>0</v>
      </c>
      <c r="AE43" s="4" t="str">
        <f>ROUND(17.48*(1+T6)*(1+T5)+T7,2)</f>
        <v>0</v>
      </c>
      <c r="AF43" s="4" t="str">
        <f>ROUND(17.96*(1+T6)*(1+T5)+T7,2)</f>
        <v>0</v>
      </c>
      <c r="AG43" s="4" t="str">
        <f>ROUND(18.43*(1+T6)*(1+T5)+T7,2)</f>
        <v>0</v>
      </c>
      <c r="AH43" s="4" t="str">
        <f>ROUND(18.98*(1+T6)*(1+T5)+T7,2)</f>
        <v>0</v>
      </c>
      <c r="AI43" s="4" t="str">
        <f>ROUND(19.92*(1+T6)*(1+T5)+T7,2)</f>
        <v>0</v>
      </c>
      <c r="AJ43" s="4" t="str">
        <f>ROUND(23.51*(1+T6)*(1+T5)+T7,2)</f>
        <v>0</v>
      </c>
      <c r="AK43" s="4" t="str">
        <f>ROUND(24.84*(1+T6)*(1+T5)+T7,2)</f>
        <v>0</v>
      </c>
      <c r="AL43" s="4" t="str">
        <f>ROUND(50.69*(1+T6)*(1+T5)+T7,2)</f>
        <v>0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 spans="1:56">
      <c r="A44" s="4"/>
      <c r="B44" s="6"/>
      <c r="C44" s="10">
        <v>762</v>
      </c>
      <c r="D44" s="4">
        <v>16.59</v>
      </c>
      <c r="E44" s="4">
        <v>17.09</v>
      </c>
      <c r="F44" s="4">
        <v>17.57</v>
      </c>
      <c r="G44" s="4">
        <v>18.04</v>
      </c>
      <c r="H44" s="4">
        <v>18.55</v>
      </c>
      <c r="I44" s="4">
        <v>19</v>
      </c>
      <c r="J44" s="4">
        <v>19.5</v>
      </c>
      <c r="K44" s="4">
        <v>19.96</v>
      </c>
      <c r="L44" s="4">
        <v>20.51</v>
      </c>
      <c r="M44" s="4">
        <v>21.54</v>
      </c>
      <c r="N44" s="4">
        <v>25.11</v>
      </c>
      <c r="O44" s="4">
        <v>26.46</v>
      </c>
      <c r="P44" s="4">
        <v>52.54</v>
      </c>
      <c r="Q44" s="4"/>
      <c r="R44" s="4"/>
      <c r="S44" s="4"/>
      <c r="T44" s="4"/>
      <c r="U44" s="4"/>
      <c r="V44" s="4"/>
      <c r="W44" s="5"/>
      <c r="X44" s="6"/>
      <c r="Y44" s="10">
        <v>762</v>
      </c>
      <c r="Z44" s="4" t="str">
        <f>ROUND(16.59*(1+T6)*(1+T5)+T7,2)</f>
        <v>0</v>
      </c>
      <c r="AA44" s="4" t="str">
        <f>ROUND(17.09*(1+T6)*(1+T5)+T7,2)</f>
        <v>0</v>
      </c>
      <c r="AB44" s="4" t="str">
        <f>ROUND(17.57*(1+T6)*(1+T5)+T7,2)</f>
        <v>0</v>
      </c>
      <c r="AC44" s="4" t="str">
        <f>ROUND(18.04*(1+T6)*(1+T5)+T7,2)</f>
        <v>0</v>
      </c>
      <c r="AD44" s="4" t="str">
        <f>ROUND(18.55*(1+T6)*(1+T5)+T7,2)</f>
        <v>0</v>
      </c>
      <c r="AE44" s="4" t="str">
        <f>ROUND(19*(1+T6)*(1+T5)+T7,2)</f>
        <v>0</v>
      </c>
      <c r="AF44" s="4" t="str">
        <f>ROUND(19.5*(1+T6)*(1+T5)+T7,2)</f>
        <v>0</v>
      </c>
      <c r="AG44" s="4" t="str">
        <f>ROUND(19.96*(1+T6)*(1+T5)+T7,2)</f>
        <v>0</v>
      </c>
      <c r="AH44" s="4" t="str">
        <f>ROUND(20.51*(1+T6)*(1+T5)+T7,2)</f>
        <v>0</v>
      </c>
      <c r="AI44" s="4" t="str">
        <f>ROUND(21.54*(1+T6)*(1+T5)+T7,2)</f>
        <v>0</v>
      </c>
      <c r="AJ44" s="4" t="str">
        <f>ROUND(25.11*(1+T6)*(1+T5)+T7,2)</f>
        <v>0</v>
      </c>
      <c r="AK44" s="4" t="str">
        <f>ROUND(26.46*(1+T6)*(1+T5)+T7,2)</f>
        <v>0</v>
      </c>
      <c r="AL44" s="4" t="str">
        <f>ROUND(52.54*(1+T6)*(1+T5)+T7,2)</f>
        <v>0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 spans="1:56">
      <c r="A45" s="4"/>
      <c r="B45" s="6"/>
      <c r="C45" s="10">
        <v>914</v>
      </c>
      <c r="D45" s="4">
        <v>18.15</v>
      </c>
      <c r="E45" s="4">
        <v>18.61</v>
      </c>
      <c r="F45" s="4">
        <v>19.09</v>
      </c>
      <c r="G45" s="4">
        <v>19.6</v>
      </c>
      <c r="H45" s="4">
        <v>20.06</v>
      </c>
      <c r="I45" s="4">
        <v>20.55</v>
      </c>
      <c r="J45" s="4">
        <v>21.01</v>
      </c>
      <c r="K45" s="4">
        <v>21.51</v>
      </c>
      <c r="L45" s="4">
        <v>22.06</v>
      </c>
      <c r="M45" s="4">
        <v>23.15</v>
      </c>
      <c r="N45" s="4">
        <v>26.72</v>
      </c>
      <c r="O45" s="4">
        <v>28.05</v>
      </c>
      <c r="P45" s="4">
        <v>54.38</v>
      </c>
      <c r="Q45" s="4"/>
      <c r="R45" s="4"/>
      <c r="S45" s="4"/>
      <c r="T45" s="4"/>
      <c r="U45" s="4"/>
      <c r="V45" s="4"/>
      <c r="W45" s="5"/>
      <c r="X45" s="6"/>
      <c r="Y45" s="10">
        <v>914</v>
      </c>
      <c r="Z45" s="4" t="str">
        <f>ROUND(18.15*(1+T6)*(1+T5)+T7,2)</f>
        <v>0</v>
      </c>
      <c r="AA45" s="4" t="str">
        <f>ROUND(18.61*(1+T6)*(1+T5)+T7,2)</f>
        <v>0</v>
      </c>
      <c r="AB45" s="4" t="str">
        <f>ROUND(19.09*(1+T6)*(1+T5)+T7,2)</f>
        <v>0</v>
      </c>
      <c r="AC45" s="4" t="str">
        <f>ROUND(19.6*(1+T6)*(1+T5)+T7,2)</f>
        <v>0</v>
      </c>
      <c r="AD45" s="4" t="str">
        <f>ROUND(20.06*(1+T6)*(1+T5)+T7,2)</f>
        <v>0</v>
      </c>
      <c r="AE45" s="4" t="str">
        <f>ROUND(20.55*(1+T6)*(1+T5)+T7,2)</f>
        <v>0</v>
      </c>
      <c r="AF45" s="4" t="str">
        <f>ROUND(21.01*(1+T6)*(1+T5)+T7,2)</f>
        <v>0</v>
      </c>
      <c r="AG45" s="4" t="str">
        <f>ROUND(21.51*(1+T6)*(1+T5)+T7,2)</f>
        <v>0</v>
      </c>
      <c r="AH45" s="4" t="str">
        <f>ROUND(22.06*(1+T6)*(1+T5)+T7,2)</f>
        <v>0</v>
      </c>
      <c r="AI45" s="4" t="str">
        <f>ROUND(23.15*(1+T6)*(1+T5)+T7,2)</f>
        <v>0</v>
      </c>
      <c r="AJ45" s="4" t="str">
        <f>ROUND(26.72*(1+T6)*(1+T5)+T7,2)</f>
        <v>0</v>
      </c>
      <c r="AK45" s="4" t="str">
        <f>ROUND(28.05*(1+T6)*(1+T5)+T7,2)</f>
        <v>0</v>
      </c>
      <c r="AL45" s="4" t="str">
        <f>ROUND(54.38*(1+T6)*(1+T5)+T7,2)</f>
        <v>0</v>
      </c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</row>
    <row r="46" spans="1:56">
      <c r="A46" s="4"/>
      <c r="B46" s="6"/>
      <c r="C46" s="10">
        <v>1067</v>
      </c>
      <c r="D46" s="4">
        <v>19.67</v>
      </c>
      <c r="E46" s="4">
        <v>21.29</v>
      </c>
      <c r="F46" s="4">
        <v>21.76</v>
      </c>
      <c r="G46" s="4">
        <v>22.28</v>
      </c>
      <c r="H46" s="4">
        <v>22.79</v>
      </c>
      <c r="I46" s="4">
        <v>23.33</v>
      </c>
      <c r="J46" s="4">
        <v>23.83</v>
      </c>
      <c r="K46" s="4">
        <v>24.32</v>
      </c>
      <c r="L46" s="4">
        <v>24.92</v>
      </c>
      <c r="M46" s="4">
        <v>26.13</v>
      </c>
      <c r="N46" s="4">
        <v>29.93</v>
      </c>
      <c r="O46" s="4">
        <v>31.31</v>
      </c>
      <c r="P46" s="4">
        <v>56.22</v>
      </c>
      <c r="Q46" s="4"/>
      <c r="R46" s="4"/>
      <c r="S46" s="4"/>
      <c r="T46" s="4"/>
      <c r="U46" s="4"/>
      <c r="V46" s="4"/>
      <c r="W46" s="5"/>
      <c r="X46" s="6"/>
      <c r="Y46" s="10">
        <v>1067</v>
      </c>
      <c r="Z46" s="4" t="str">
        <f>ROUND(19.67*(1+T6)*(1+T5)+T7,2)</f>
        <v>0</v>
      </c>
      <c r="AA46" s="4" t="str">
        <f>ROUND(21.29*(1+T6)*(1+T5)+T7,2)</f>
        <v>0</v>
      </c>
      <c r="AB46" s="4" t="str">
        <f>ROUND(21.76*(1+T6)*(1+T5)+T7,2)</f>
        <v>0</v>
      </c>
      <c r="AC46" s="4" t="str">
        <f>ROUND(22.28*(1+T6)*(1+T5)+T7,2)</f>
        <v>0</v>
      </c>
      <c r="AD46" s="4" t="str">
        <f>ROUND(22.79*(1+T6)*(1+T5)+T7,2)</f>
        <v>0</v>
      </c>
      <c r="AE46" s="4" t="str">
        <f>ROUND(23.33*(1+T6)*(1+T5)+T7,2)</f>
        <v>0</v>
      </c>
      <c r="AF46" s="4" t="str">
        <f>ROUND(23.83*(1+T6)*(1+T5)+T7,2)</f>
        <v>0</v>
      </c>
      <c r="AG46" s="4" t="str">
        <f>ROUND(24.32*(1+T6)*(1+T5)+T7,2)</f>
        <v>0</v>
      </c>
      <c r="AH46" s="4" t="str">
        <f>ROUND(24.92*(1+T6)*(1+T5)+T7,2)</f>
        <v>0</v>
      </c>
      <c r="AI46" s="4" t="str">
        <f>ROUND(26.13*(1+T6)*(1+T5)+T7,2)</f>
        <v>0</v>
      </c>
      <c r="AJ46" s="4" t="str">
        <f>ROUND(29.93*(1+T6)*(1+T5)+T7,2)</f>
        <v>0</v>
      </c>
      <c r="AK46" s="4" t="str">
        <f>ROUND(31.31*(1+T6)*(1+T5)+T7,2)</f>
        <v>0</v>
      </c>
      <c r="AL46" s="4" t="str">
        <f>ROUND(56.22*(1+T6)*(1+T5)+T7,2)</f>
        <v>0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 spans="1:56">
      <c r="A47" s="4"/>
      <c r="B47" s="6"/>
      <c r="C47" s="10">
        <v>1219</v>
      </c>
      <c r="D47" s="4">
        <v>21.19</v>
      </c>
      <c r="E47" s="4">
        <v>22.92</v>
      </c>
      <c r="F47" s="4">
        <v>23.41</v>
      </c>
      <c r="G47" s="4">
        <v>23.89</v>
      </c>
      <c r="H47" s="4">
        <v>24.43</v>
      </c>
      <c r="I47" s="4">
        <v>24.95</v>
      </c>
      <c r="J47" s="4">
        <v>25.41</v>
      </c>
      <c r="K47" s="4">
        <v>25.95</v>
      </c>
      <c r="L47" s="4">
        <v>26.51</v>
      </c>
      <c r="M47" s="4">
        <v>27.86</v>
      </c>
      <c r="N47" s="4">
        <v>31.63</v>
      </c>
      <c r="O47" s="4">
        <v>33</v>
      </c>
      <c r="P47" s="4">
        <v>57.13</v>
      </c>
      <c r="Q47" s="4"/>
      <c r="R47" s="4"/>
      <c r="S47" s="4"/>
      <c r="T47" s="4"/>
      <c r="U47" s="4"/>
      <c r="V47" s="4"/>
      <c r="W47" s="5"/>
      <c r="X47" s="6"/>
      <c r="Y47" s="10">
        <v>1219</v>
      </c>
      <c r="Z47" s="4" t="str">
        <f>ROUND(21.19*(1+T6)*(1+T5)+T7,2)</f>
        <v>0</v>
      </c>
      <c r="AA47" s="4" t="str">
        <f>ROUND(22.92*(1+T6)*(1+T5)+T7,2)</f>
        <v>0</v>
      </c>
      <c r="AB47" s="4" t="str">
        <f>ROUND(23.41*(1+T6)*(1+T5)+T7,2)</f>
        <v>0</v>
      </c>
      <c r="AC47" s="4" t="str">
        <f>ROUND(23.89*(1+T6)*(1+T5)+T7,2)</f>
        <v>0</v>
      </c>
      <c r="AD47" s="4" t="str">
        <f>ROUND(24.43*(1+T6)*(1+T5)+T7,2)</f>
        <v>0</v>
      </c>
      <c r="AE47" s="4" t="str">
        <f>ROUND(24.95*(1+T6)*(1+T5)+T7,2)</f>
        <v>0</v>
      </c>
      <c r="AF47" s="4" t="str">
        <f>ROUND(25.41*(1+T6)*(1+T5)+T7,2)</f>
        <v>0</v>
      </c>
      <c r="AG47" s="4" t="str">
        <f>ROUND(25.95*(1+T6)*(1+T5)+T7,2)</f>
        <v>0</v>
      </c>
      <c r="AH47" s="4" t="str">
        <f>ROUND(26.51*(1+T6)*(1+T5)+T7,2)</f>
        <v>0</v>
      </c>
      <c r="AI47" s="4" t="str">
        <f>ROUND(27.86*(1+T6)*(1+T5)+T7,2)</f>
        <v>0</v>
      </c>
      <c r="AJ47" s="4" t="str">
        <f>ROUND(31.63*(1+T6)*(1+T5)+T7,2)</f>
        <v>0</v>
      </c>
      <c r="AK47" s="4" t="str">
        <f>ROUND(33*(1+T6)*(1+T5)+T7,2)</f>
        <v>0</v>
      </c>
      <c r="AL47" s="4" t="str">
        <f>ROUND(57.13*(1+T6)*(1+T5)+T7,2)</f>
        <v>0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r="48" spans="1:56">
      <c r="A48" s="4"/>
      <c r="B48" s="6"/>
      <c r="C48" s="10">
        <v>1524</v>
      </c>
      <c r="D48" s="4">
        <v>24.27</v>
      </c>
      <c r="E48" s="4">
        <v>26.13</v>
      </c>
      <c r="F48" s="4">
        <v>26.65</v>
      </c>
      <c r="G48" s="4">
        <v>27.14</v>
      </c>
      <c r="H48" s="4">
        <v>27.66</v>
      </c>
      <c r="I48" s="4">
        <v>28.17</v>
      </c>
      <c r="J48" s="4">
        <v>28.67</v>
      </c>
      <c r="K48" s="4">
        <v>29.18</v>
      </c>
      <c r="L48" s="4">
        <v>29.77</v>
      </c>
      <c r="M48" s="4">
        <v>31.24</v>
      </c>
      <c r="N48" s="4">
        <v>35.03</v>
      </c>
      <c r="O48" s="4">
        <v>36.39</v>
      </c>
      <c r="P48" s="4">
        <v>61.76</v>
      </c>
      <c r="Q48" s="4"/>
      <c r="R48" s="4"/>
      <c r="S48" s="4"/>
      <c r="T48" s="4"/>
      <c r="U48" s="4"/>
      <c r="V48" s="4"/>
      <c r="W48" s="5"/>
      <c r="X48" s="6"/>
      <c r="Y48" s="10">
        <v>1524</v>
      </c>
      <c r="Z48" s="4" t="str">
        <f>ROUND(24.27*(1+T6)*(1+T5)+T7,2)</f>
        <v>0</v>
      </c>
      <c r="AA48" s="4" t="str">
        <f>ROUND(26.13*(1+T6)*(1+T5)+T7,2)</f>
        <v>0</v>
      </c>
      <c r="AB48" s="4" t="str">
        <f>ROUND(26.65*(1+T6)*(1+T5)+T7,2)</f>
        <v>0</v>
      </c>
      <c r="AC48" s="4" t="str">
        <f>ROUND(27.14*(1+T6)*(1+T5)+T7,2)</f>
        <v>0</v>
      </c>
      <c r="AD48" s="4" t="str">
        <f>ROUND(27.66*(1+T6)*(1+T5)+T7,2)</f>
        <v>0</v>
      </c>
      <c r="AE48" s="4" t="str">
        <f>ROUND(28.17*(1+T6)*(1+T5)+T7,2)</f>
        <v>0</v>
      </c>
      <c r="AF48" s="4" t="str">
        <f>ROUND(28.67*(1+T6)*(1+T5)+T7,2)</f>
        <v>0</v>
      </c>
      <c r="AG48" s="4" t="str">
        <f>ROUND(29.18*(1+T6)*(1+T5)+T7,2)</f>
        <v>0</v>
      </c>
      <c r="AH48" s="4" t="str">
        <f>ROUND(29.77*(1+T6)*(1+T5)+T7,2)</f>
        <v>0</v>
      </c>
      <c r="AI48" s="4" t="str">
        <f>ROUND(31.24*(1+T6)*(1+T5)+T7,2)</f>
        <v>0</v>
      </c>
      <c r="AJ48" s="4" t="str">
        <f>ROUND(35.03*(1+T6)*(1+T5)+T7,2)</f>
        <v>0</v>
      </c>
      <c r="AK48" s="4" t="str">
        <f>ROUND(36.39*(1+T6)*(1+T5)+T7,2)</f>
        <v>0</v>
      </c>
      <c r="AL48" s="4" t="str">
        <f>ROUND(61.76*(1+T6)*(1+T5)+T7,2)</f>
        <v>0</v>
      </c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 spans="1:56">
      <c r="A49" s="4"/>
      <c r="B49" s="6"/>
      <c r="C49" s="10">
        <v>1829</v>
      </c>
      <c r="D49" s="4">
        <v>27.35</v>
      </c>
      <c r="E49" s="4">
        <v>29.39</v>
      </c>
      <c r="F49" s="4">
        <v>29.91</v>
      </c>
      <c r="G49" s="4">
        <v>30.37</v>
      </c>
      <c r="H49" s="4">
        <v>30.89</v>
      </c>
      <c r="I49" s="4">
        <v>31.43</v>
      </c>
      <c r="J49" s="4">
        <v>31.93</v>
      </c>
      <c r="K49" s="4">
        <v>32.44</v>
      </c>
      <c r="L49" s="4">
        <v>33</v>
      </c>
      <c r="M49" s="4">
        <v>34.68</v>
      </c>
      <c r="N49" s="4">
        <v>38.41</v>
      </c>
      <c r="O49" s="4">
        <v>39.81</v>
      </c>
      <c r="P49" s="4">
        <v>73.75</v>
      </c>
      <c r="Q49" s="4"/>
      <c r="R49" s="4"/>
      <c r="S49" s="4"/>
      <c r="T49" s="4"/>
      <c r="U49" s="4"/>
      <c r="V49" s="4"/>
      <c r="W49" s="5"/>
      <c r="X49" s="6"/>
      <c r="Y49" s="10">
        <v>1829</v>
      </c>
      <c r="Z49" s="4" t="str">
        <f>ROUND(27.35*(1+T6)*(1+T5)+T7,2)</f>
        <v>0</v>
      </c>
      <c r="AA49" s="4" t="str">
        <f>ROUND(29.39*(1+T6)*(1+T5)+T7,2)</f>
        <v>0</v>
      </c>
      <c r="AB49" s="4" t="str">
        <f>ROUND(29.91*(1+T6)*(1+T5)+T7,2)</f>
        <v>0</v>
      </c>
      <c r="AC49" s="4" t="str">
        <f>ROUND(30.37*(1+T6)*(1+T5)+T7,2)</f>
        <v>0</v>
      </c>
      <c r="AD49" s="4" t="str">
        <f>ROUND(30.89*(1+T6)*(1+T5)+T7,2)</f>
        <v>0</v>
      </c>
      <c r="AE49" s="4" t="str">
        <f>ROUND(31.43*(1+T6)*(1+T5)+T7,2)</f>
        <v>0</v>
      </c>
      <c r="AF49" s="4" t="str">
        <f>ROUND(31.93*(1+T6)*(1+T5)+T7,2)</f>
        <v>0</v>
      </c>
      <c r="AG49" s="4" t="str">
        <f>ROUND(32.44*(1+T6)*(1+T5)+T7,2)</f>
        <v>0</v>
      </c>
      <c r="AH49" s="4" t="str">
        <f>ROUND(33*(1+T6)*(1+T5)+T7,2)</f>
        <v>0</v>
      </c>
      <c r="AI49" s="4" t="str">
        <f>ROUND(34.68*(1+T6)*(1+T5)+T7,2)</f>
        <v>0</v>
      </c>
      <c r="AJ49" s="4" t="str">
        <f>ROUND(38.41*(1+T6)*(1+T5)+T7,2)</f>
        <v>0</v>
      </c>
      <c r="AK49" s="4" t="str">
        <f>ROUND(39.81*(1+T6)*(1+T5)+T7,2)</f>
        <v>0</v>
      </c>
      <c r="AL49" s="4" t="str">
        <f>ROUND(73.75*(1+T6)*(1+T5)+T7,2)</f>
        <v>0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r="50" spans="1:56">
      <c r="A50" s="4"/>
      <c r="B50" s="6"/>
      <c r="C50" s="10">
        <v>2134</v>
      </c>
      <c r="D50" s="4">
        <v>30.41</v>
      </c>
      <c r="E50" s="4">
        <v>32.62</v>
      </c>
      <c r="F50" s="4">
        <v>33.15</v>
      </c>
      <c r="G50" s="4">
        <v>33.65</v>
      </c>
      <c r="H50" s="4">
        <v>34.16</v>
      </c>
      <c r="I50" s="4">
        <v>34.68</v>
      </c>
      <c r="J50" s="4">
        <v>35.18</v>
      </c>
      <c r="K50" s="4">
        <v>35.67</v>
      </c>
      <c r="L50" s="4">
        <v>36.26</v>
      </c>
      <c r="M50" s="4">
        <v>38.08</v>
      </c>
      <c r="N50" s="4">
        <v>62.81</v>
      </c>
      <c r="O50" s="4">
        <v>64.17</v>
      </c>
      <c r="P50" s="4">
        <v>78.35</v>
      </c>
      <c r="Q50" s="4"/>
      <c r="R50" s="4"/>
      <c r="S50" s="4"/>
      <c r="T50" s="4"/>
      <c r="U50" s="4"/>
      <c r="V50" s="4"/>
      <c r="W50" s="5"/>
      <c r="X50" s="6"/>
      <c r="Y50" s="10">
        <v>2134</v>
      </c>
      <c r="Z50" s="4" t="str">
        <f>ROUND(30.41*(1+T6)*(1+T5)+T7,2)</f>
        <v>0</v>
      </c>
      <c r="AA50" s="4" t="str">
        <f>ROUND(32.62*(1+T6)*(1+T5)+T7,2)</f>
        <v>0</v>
      </c>
      <c r="AB50" s="4" t="str">
        <f>ROUND(33.15*(1+T6)*(1+T5)+T7,2)</f>
        <v>0</v>
      </c>
      <c r="AC50" s="4" t="str">
        <f>ROUND(33.65*(1+T6)*(1+T5)+T7,2)</f>
        <v>0</v>
      </c>
      <c r="AD50" s="4" t="str">
        <f>ROUND(34.16*(1+T6)*(1+T5)+T7,2)</f>
        <v>0</v>
      </c>
      <c r="AE50" s="4" t="str">
        <f>ROUND(34.68*(1+T6)*(1+T5)+T7,2)</f>
        <v>0</v>
      </c>
      <c r="AF50" s="4" t="str">
        <f>ROUND(35.18*(1+T6)*(1+T5)+T7,2)</f>
        <v>0</v>
      </c>
      <c r="AG50" s="4" t="str">
        <f>ROUND(35.67*(1+T6)*(1+T5)+T7,2)</f>
        <v>0</v>
      </c>
      <c r="AH50" s="4" t="str">
        <f>ROUND(36.26*(1+T6)*(1+T5)+T7,2)</f>
        <v>0</v>
      </c>
      <c r="AI50" s="4" t="str">
        <f>ROUND(38.08*(1+T6)*(1+T5)+T7,2)</f>
        <v>0</v>
      </c>
      <c r="AJ50" s="4" t="str">
        <f>ROUND(62.81*(1+T6)*(1+T5)+T7,2)</f>
        <v>0</v>
      </c>
      <c r="AK50" s="4" t="str">
        <f>ROUND(64.17*(1+T6)*(1+T5)+T7,2)</f>
        <v>0</v>
      </c>
      <c r="AL50" s="4" t="str">
        <f>ROUND(78.35*(1+T6)*(1+T5)+T7,2)</f>
        <v>0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r="51" spans="1:56">
      <c r="A51" s="4"/>
      <c r="B51" s="6"/>
      <c r="C51" s="10">
        <v>2438</v>
      </c>
      <c r="D51" s="4">
        <v>33.47</v>
      </c>
      <c r="E51" s="4">
        <v>35.85</v>
      </c>
      <c r="F51" s="4">
        <v>36.36</v>
      </c>
      <c r="G51" s="4">
        <v>36.88</v>
      </c>
      <c r="H51" s="4">
        <v>37.37</v>
      </c>
      <c r="I51" s="4">
        <v>37.89</v>
      </c>
      <c r="J51" s="4">
        <v>38.41</v>
      </c>
      <c r="K51" s="4">
        <v>38.9</v>
      </c>
      <c r="L51" s="4">
        <v>39.49</v>
      </c>
      <c r="M51" s="4">
        <v>41.46</v>
      </c>
      <c r="N51" s="4">
        <v>69.48</v>
      </c>
      <c r="O51" s="4">
        <v>70.88</v>
      </c>
      <c r="P51" s="4">
        <v>82.97</v>
      </c>
      <c r="Q51" s="4"/>
      <c r="R51" s="4"/>
      <c r="S51" s="4"/>
      <c r="T51" s="4"/>
      <c r="U51" s="4"/>
      <c r="V51" s="4"/>
      <c r="W51" s="5"/>
      <c r="X51" s="6"/>
      <c r="Y51" s="10">
        <v>2438</v>
      </c>
      <c r="Z51" s="4" t="str">
        <f>ROUND(33.47*(1+T6)*(1+T5)+T7,2)</f>
        <v>0</v>
      </c>
      <c r="AA51" s="4" t="str">
        <f>ROUND(35.85*(1+T6)*(1+T5)+T7,2)</f>
        <v>0</v>
      </c>
      <c r="AB51" s="4" t="str">
        <f>ROUND(36.36*(1+T6)*(1+T5)+T7,2)</f>
        <v>0</v>
      </c>
      <c r="AC51" s="4" t="str">
        <f>ROUND(36.88*(1+T6)*(1+T5)+T7,2)</f>
        <v>0</v>
      </c>
      <c r="AD51" s="4" t="str">
        <f>ROUND(37.37*(1+T6)*(1+T5)+T7,2)</f>
        <v>0</v>
      </c>
      <c r="AE51" s="4" t="str">
        <f>ROUND(37.89*(1+T6)*(1+T5)+T7,2)</f>
        <v>0</v>
      </c>
      <c r="AF51" s="4" t="str">
        <f>ROUND(38.41*(1+T6)*(1+T5)+T7,2)</f>
        <v>0</v>
      </c>
      <c r="AG51" s="4" t="str">
        <f>ROUND(38.9*(1+T6)*(1+T5)+T7,2)</f>
        <v>0</v>
      </c>
      <c r="AH51" s="4" t="str">
        <f>ROUND(39.49*(1+T6)*(1+T5)+T7,2)</f>
        <v>0</v>
      </c>
      <c r="AI51" s="4" t="str">
        <f>ROUND(41.46*(1+T6)*(1+T5)+T7,2)</f>
        <v>0</v>
      </c>
      <c r="AJ51" s="4" t="str">
        <f>ROUND(69.48*(1+T6)*(1+T5)+T7,2)</f>
        <v>0</v>
      </c>
      <c r="AK51" s="4" t="str">
        <f>ROUND(70.88*(1+T6)*(1+T5)+T7,2)</f>
        <v>0</v>
      </c>
      <c r="AL51" s="4" t="str">
        <f>ROUND(82.97*(1+T6)*(1+T5)+T7,2)</f>
        <v>0</v>
      </c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</row>
    <row r="52" spans="1:56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5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</row>
    <row r="53" spans="1:56">
      <c r="A53" s="4"/>
      <c r="B53" s="5"/>
      <c r="C53" s="8" t="s">
        <v>22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"/>
      <c r="R53" s="4"/>
      <c r="S53" s="4"/>
      <c r="T53" s="4"/>
      <c r="U53" s="4"/>
      <c r="V53" s="4"/>
      <c r="W53" s="5"/>
      <c r="X53" s="5"/>
      <c r="Y53" s="8" t="s">
        <v>22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</row>
    <row r="54" spans="1:56">
      <c r="A54" s="4"/>
      <c r="B54" s="5"/>
      <c r="C54" s="8" t="s">
        <v>23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4"/>
      <c r="R54" s="4"/>
      <c r="S54" s="4"/>
      <c r="T54" s="4"/>
      <c r="U54" s="4"/>
      <c r="V54" s="4"/>
      <c r="W54" s="5"/>
      <c r="X54" s="5"/>
      <c r="Y54" s="8" t="s">
        <v>23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r="55" spans="1:56">
      <c r="A55" s="4"/>
      <c r="B55" s="5"/>
      <c r="C55" s="9" t="s">
        <v>15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4"/>
      <c r="R55" s="4"/>
      <c r="S55" s="4"/>
      <c r="T55" s="4"/>
      <c r="U55" s="4"/>
      <c r="V55" s="4"/>
      <c r="W55" s="5"/>
      <c r="X55" s="5"/>
      <c r="Y55" s="9" t="s">
        <v>15</v>
      </c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 spans="1:56">
      <c r="A56" s="4"/>
      <c r="B56" s="6"/>
      <c r="C56" s="10" t="s">
        <v>16</v>
      </c>
      <c r="D56" s="10">
        <v>610</v>
      </c>
      <c r="E56" s="10">
        <v>762</v>
      </c>
      <c r="F56" s="10">
        <v>914</v>
      </c>
      <c r="G56" s="10">
        <v>1067</v>
      </c>
      <c r="H56" s="10">
        <v>1219</v>
      </c>
      <c r="I56" s="10">
        <v>1376</v>
      </c>
      <c r="J56" s="10">
        <v>1524</v>
      </c>
      <c r="K56" s="10">
        <v>1676</v>
      </c>
      <c r="L56" s="10">
        <v>1829</v>
      </c>
      <c r="M56" s="10">
        <v>1981</v>
      </c>
      <c r="N56" s="10">
        <v>2134</v>
      </c>
      <c r="O56" s="10">
        <v>2438</v>
      </c>
      <c r="P56" s="10">
        <v>2800</v>
      </c>
      <c r="Q56" s="4"/>
      <c r="R56" s="4"/>
      <c r="S56" s="4"/>
      <c r="T56" s="4"/>
      <c r="U56" s="4"/>
      <c r="V56" s="4"/>
      <c r="W56" s="5"/>
      <c r="X56" s="6"/>
      <c r="Y56" s="10" t="s">
        <v>16</v>
      </c>
      <c r="Z56" s="10">
        <v>610</v>
      </c>
      <c r="AA56" s="10">
        <v>762</v>
      </c>
      <c r="AB56" s="10">
        <v>914</v>
      </c>
      <c r="AC56" s="10">
        <v>1067</v>
      </c>
      <c r="AD56" s="10">
        <v>1219</v>
      </c>
      <c r="AE56" s="10">
        <v>1376</v>
      </c>
      <c r="AF56" s="10">
        <v>1524</v>
      </c>
      <c r="AG56" s="10">
        <v>1676</v>
      </c>
      <c r="AH56" s="10">
        <v>1829</v>
      </c>
      <c r="AI56" s="10">
        <v>1981</v>
      </c>
      <c r="AJ56" s="10">
        <v>2134</v>
      </c>
      <c r="AK56" s="10">
        <v>2438</v>
      </c>
      <c r="AL56" s="10">
        <v>2800</v>
      </c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  <row r="57" spans="1:56">
      <c r="A57" s="4"/>
      <c r="B57" s="6" t="s">
        <v>17</v>
      </c>
      <c r="C57" s="10">
        <v>610</v>
      </c>
      <c r="D57" s="4">
        <v>14.76</v>
      </c>
      <c r="E57" s="4">
        <v>14.87</v>
      </c>
      <c r="F57" s="4">
        <v>15.15</v>
      </c>
      <c r="G57" s="4">
        <v>15.23</v>
      </c>
      <c r="H57" s="4">
        <v>15.67</v>
      </c>
      <c r="I57" s="4">
        <v>16.13</v>
      </c>
      <c r="J57" s="4">
        <v>16.57</v>
      </c>
      <c r="K57" s="4">
        <v>17.01</v>
      </c>
      <c r="L57" s="4">
        <v>17.51</v>
      </c>
      <c r="M57" s="4">
        <v>18.38</v>
      </c>
      <c r="N57" s="4">
        <v>21.69</v>
      </c>
      <c r="O57" s="4">
        <v>22.92</v>
      </c>
      <c r="P57" s="4">
        <v>46.77</v>
      </c>
      <c r="Q57" s="4"/>
      <c r="R57" s="4"/>
      <c r="S57" s="4"/>
      <c r="T57" s="4"/>
      <c r="U57" s="4"/>
      <c r="V57" s="4"/>
      <c r="W57" s="5"/>
      <c r="X57" s="6" t="s">
        <v>17</v>
      </c>
      <c r="Y57" s="10">
        <v>610</v>
      </c>
      <c r="Z57" s="4" t="str">
        <f>ROUND(14.76*(1+T6)*(1+T5)+T7,2)</f>
        <v>0</v>
      </c>
      <c r="AA57" s="4" t="str">
        <f>ROUND(14.87*(1+T6)*(1+T5)+T7,2)</f>
        <v>0</v>
      </c>
      <c r="AB57" s="4" t="str">
        <f>ROUND(15.15*(1+T6)*(1+T5)+T7,2)</f>
        <v>0</v>
      </c>
      <c r="AC57" s="4" t="str">
        <f>ROUND(15.23*(1+T6)*(1+T5)+T7,2)</f>
        <v>0</v>
      </c>
      <c r="AD57" s="4" t="str">
        <f>ROUND(15.67*(1+T6)*(1+T5)+T7,2)</f>
        <v>0</v>
      </c>
      <c r="AE57" s="4" t="str">
        <f>ROUND(16.13*(1+T6)*(1+T5)+T7,2)</f>
        <v>0</v>
      </c>
      <c r="AF57" s="4" t="str">
        <f>ROUND(16.57*(1+T6)*(1+T5)+T7,2)</f>
        <v>0</v>
      </c>
      <c r="AG57" s="4" t="str">
        <f>ROUND(17.01*(1+T6)*(1+T5)+T7,2)</f>
        <v>0</v>
      </c>
      <c r="AH57" s="4" t="str">
        <f>ROUND(17.51*(1+T6)*(1+T5)+T7,2)</f>
        <v>0</v>
      </c>
      <c r="AI57" s="4" t="str">
        <f>ROUND(18.38*(1+T6)*(1+T5)+T7,2)</f>
        <v>0</v>
      </c>
      <c r="AJ57" s="4" t="str">
        <f>ROUND(21.69*(1+T6)*(1+T5)+T7,2)</f>
        <v>0</v>
      </c>
      <c r="AK57" s="4" t="str">
        <f>ROUND(22.92*(1+T6)*(1+T5)+T7,2)</f>
        <v>0</v>
      </c>
      <c r="AL57" s="4" t="str">
        <f>ROUND(46.77*(1+T6)*(1+T5)+T7,2)</f>
        <v>0</v>
      </c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</row>
    <row r="58" spans="1:56">
      <c r="A58" s="4"/>
      <c r="B58" s="6"/>
      <c r="C58" s="10">
        <v>762</v>
      </c>
      <c r="D58" s="4">
        <v>15.28</v>
      </c>
      <c r="E58" s="4">
        <v>15.76</v>
      </c>
      <c r="F58" s="4">
        <v>16.2</v>
      </c>
      <c r="G58" s="4">
        <v>16.64</v>
      </c>
      <c r="H58" s="4">
        <v>17.11</v>
      </c>
      <c r="I58" s="4">
        <v>17.52</v>
      </c>
      <c r="J58" s="4">
        <v>17.99</v>
      </c>
      <c r="K58" s="4">
        <v>18.42</v>
      </c>
      <c r="L58" s="4">
        <v>18.91</v>
      </c>
      <c r="M58" s="4">
        <v>19.86</v>
      </c>
      <c r="N58" s="4">
        <v>23.17</v>
      </c>
      <c r="O58" s="4">
        <v>24.41</v>
      </c>
      <c r="P58" s="4">
        <v>48.45</v>
      </c>
      <c r="Q58" s="4"/>
      <c r="R58" s="4"/>
      <c r="S58" s="4"/>
      <c r="T58" s="4"/>
      <c r="U58" s="4"/>
      <c r="V58" s="4"/>
      <c r="W58" s="5"/>
      <c r="X58" s="6"/>
      <c r="Y58" s="10">
        <v>762</v>
      </c>
      <c r="Z58" s="4" t="str">
        <f>ROUND(15.28*(1+T6)*(1+T5)+T7,2)</f>
        <v>0</v>
      </c>
      <c r="AA58" s="4" t="str">
        <f>ROUND(15.76*(1+T6)*(1+T5)+T7,2)</f>
        <v>0</v>
      </c>
      <c r="AB58" s="4" t="str">
        <f>ROUND(16.2*(1+T6)*(1+T5)+T7,2)</f>
        <v>0</v>
      </c>
      <c r="AC58" s="4" t="str">
        <f>ROUND(16.64*(1+T6)*(1+T5)+T7,2)</f>
        <v>0</v>
      </c>
      <c r="AD58" s="4" t="str">
        <f>ROUND(17.11*(1+T6)*(1+T5)+T7,2)</f>
        <v>0</v>
      </c>
      <c r="AE58" s="4" t="str">
        <f>ROUND(17.52*(1+T6)*(1+T5)+T7,2)</f>
        <v>0</v>
      </c>
      <c r="AF58" s="4" t="str">
        <f>ROUND(17.99*(1+T6)*(1+T5)+T7,2)</f>
        <v>0</v>
      </c>
      <c r="AG58" s="4" t="str">
        <f>ROUND(18.42*(1+T6)*(1+T5)+T7,2)</f>
        <v>0</v>
      </c>
      <c r="AH58" s="4" t="str">
        <f>ROUND(18.91*(1+T6)*(1+T5)+T7,2)</f>
        <v>0</v>
      </c>
      <c r="AI58" s="4" t="str">
        <f>ROUND(19.86*(1+T6)*(1+T5)+T7,2)</f>
        <v>0</v>
      </c>
      <c r="AJ58" s="4" t="str">
        <f>ROUND(23.17*(1+T6)*(1+T5)+T7,2)</f>
        <v>0</v>
      </c>
      <c r="AK58" s="4" t="str">
        <f>ROUND(24.41*(1+T6)*(1+T5)+T7,2)</f>
        <v>0</v>
      </c>
      <c r="AL58" s="4" t="str">
        <f>ROUND(48.45*(1+T6)*(1+T5)+T7,2)</f>
        <v>0</v>
      </c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</row>
    <row r="59" spans="1:56">
      <c r="A59" s="4"/>
      <c r="B59" s="6"/>
      <c r="C59" s="10">
        <v>914</v>
      </c>
      <c r="D59" s="4">
        <v>16.71</v>
      </c>
      <c r="E59" s="4">
        <v>17.15</v>
      </c>
      <c r="F59" s="4">
        <v>17.61</v>
      </c>
      <c r="G59" s="4">
        <v>18.07</v>
      </c>
      <c r="H59" s="4">
        <v>18.52</v>
      </c>
      <c r="I59" s="4">
        <v>18.93</v>
      </c>
      <c r="J59" s="4">
        <v>19.37</v>
      </c>
      <c r="K59" s="4">
        <v>19.84</v>
      </c>
      <c r="L59" s="4">
        <v>20.35</v>
      </c>
      <c r="M59" s="4">
        <v>21.35</v>
      </c>
      <c r="N59" s="4">
        <v>24.64</v>
      </c>
      <c r="O59" s="4">
        <v>25.87</v>
      </c>
      <c r="P59" s="4">
        <v>50.16</v>
      </c>
      <c r="Q59" s="4"/>
      <c r="R59" s="4"/>
      <c r="S59" s="4"/>
      <c r="T59" s="4"/>
      <c r="U59" s="4"/>
      <c r="V59" s="4"/>
      <c r="W59" s="5"/>
      <c r="X59" s="6"/>
      <c r="Y59" s="10">
        <v>914</v>
      </c>
      <c r="Z59" s="4" t="str">
        <f>ROUND(16.71*(1+T6)*(1+T5)+T7,2)</f>
        <v>0</v>
      </c>
      <c r="AA59" s="4" t="str">
        <f>ROUND(17.15*(1+T6)*(1+T5)+T7,2)</f>
        <v>0</v>
      </c>
      <c r="AB59" s="4" t="str">
        <f>ROUND(17.61*(1+T6)*(1+T5)+T7,2)</f>
        <v>0</v>
      </c>
      <c r="AC59" s="4" t="str">
        <f>ROUND(18.07*(1+T6)*(1+T5)+T7,2)</f>
        <v>0</v>
      </c>
      <c r="AD59" s="4" t="str">
        <f>ROUND(18.52*(1+T6)*(1+T5)+T7,2)</f>
        <v>0</v>
      </c>
      <c r="AE59" s="4" t="str">
        <f>ROUND(18.93*(1+T6)*(1+T5)+T7,2)</f>
        <v>0</v>
      </c>
      <c r="AF59" s="4" t="str">
        <f>ROUND(19.37*(1+T6)*(1+T5)+T7,2)</f>
        <v>0</v>
      </c>
      <c r="AG59" s="4" t="str">
        <f>ROUND(19.84*(1+T6)*(1+T5)+T7,2)</f>
        <v>0</v>
      </c>
      <c r="AH59" s="4" t="str">
        <f>ROUND(20.35*(1+T6)*(1+T5)+T7,2)</f>
        <v>0</v>
      </c>
      <c r="AI59" s="4" t="str">
        <f>ROUND(21.35*(1+T6)*(1+T5)+T7,2)</f>
        <v>0</v>
      </c>
      <c r="AJ59" s="4" t="str">
        <f>ROUND(24.64*(1+T6)*(1+T5)+T7,2)</f>
        <v>0</v>
      </c>
      <c r="AK59" s="4" t="str">
        <f>ROUND(25.87*(1+T6)*(1+T5)+T7,2)</f>
        <v>0</v>
      </c>
      <c r="AL59" s="4" t="str">
        <f>ROUND(50.16*(1+T6)*(1+T5)+T7,2)</f>
        <v>0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</row>
    <row r="60" spans="1:56">
      <c r="A60" s="4"/>
      <c r="B60" s="6"/>
      <c r="C60" s="10">
        <v>1067</v>
      </c>
      <c r="D60" s="4">
        <v>18.15</v>
      </c>
      <c r="E60" s="4">
        <v>19.64</v>
      </c>
      <c r="F60" s="4">
        <v>20.07</v>
      </c>
      <c r="G60" s="4">
        <v>20.56</v>
      </c>
      <c r="H60" s="4">
        <v>21.02</v>
      </c>
      <c r="I60" s="4">
        <v>21.51</v>
      </c>
      <c r="J60" s="4">
        <v>21.97</v>
      </c>
      <c r="K60" s="4">
        <v>22.43</v>
      </c>
      <c r="L60" s="4">
        <v>22.97</v>
      </c>
      <c r="M60" s="4">
        <v>24.1</v>
      </c>
      <c r="N60" s="4">
        <v>27.59</v>
      </c>
      <c r="O60" s="4">
        <v>28.89</v>
      </c>
      <c r="P60" s="4">
        <v>51.86</v>
      </c>
      <c r="Q60" s="4"/>
      <c r="R60" s="4"/>
      <c r="S60" s="4"/>
      <c r="T60" s="4"/>
      <c r="U60" s="4"/>
      <c r="V60" s="4"/>
      <c r="W60" s="5"/>
      <c r="X60" s="6"/>
      <c r="Y60" s="10">
        <v>1067</v>
      </c>
      <c r="Z60" s="4" t="str">
        <f>ROUND(18.15*(1+T6)*(1+T5)+T7,2)</f>
        <v>0</v>
      </c>
      <c r="AA60" s="4" t="str">
        <f>ROUND(19.64*(1+T6)*(1+T5)+T7,2)</f>
        <v>0</v>
      </c>
      <c r="AB60" s="4" t="str">
        <f>ROUND(20.07*(1+T6)*(1+T5)+T7,2)</f>
        <v>0</v>
      </c>
      <c r="AC60" s="4" t="str">
        <f>ROUND(20.56*(1+T6)*(1+T5)+T7,2)</f>
        <v>0</v>
      </c>
      <c r="AD60" s="4" t="str">
        <f>ROUND(21.02*(1+T6)*(1+T5)+T7,2)</f>
        <v>0</v>
      </c>
      <c r="AE60" s="4" t="str">
        <f>ROUND(21.51*(1+T6)*(1+T5)+T7,2)</f>
        <v>0</v>
      </c>
      <c r="AF60" s="4" t="str">
        <f>ROUND(21.97*(1+T6)*(1+T5)+T7,2)</f>
        <v>0</v>
      </c>
      <c r="AG60" s="4" t="str">
        <f>ROUND(22.43*(1+T6)*(1+T5)+T7,2)</f>
        <v>0</v>
      </c>
      <c r="AH60" s="4" t="str">
        <f>ROUND(22.97*(1+T6)*(1+T5)+T7,2)</f>
        <v>0</v>
      </c>
      <c r="AI60" s="4" t="str">
        <f>ROUND(24.1*(1+T6)*(1+T5)+T7,2)</f>
        <v>0</v>
      </c>
      <c r="AJ60" s="4" t="str">
        <f>ROUND(27.59*(1+T6)*(1+T5)+T7,2)</f>
        <v>0</v>
      </c>
      <c r="AK60" s="4" t="str">
        <f>ROUND(28.89*(1+T6)*(1+T5)+T7,2)</f>
        <v>0</v>
      </c>
      <c r="AL60" s="4" t="str">
        <f>ROUND(51.86*(1+T6)*(1+T5)+T7,2)</f>
        <v>0</v>
      </c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</row>
    <row r="61" spans="1:56">
      <c r="A61" s="4"/>
      <c r="B61" s="6"/>
      <c r="C61" s="10">
        <v>1219</v>
      </c>
      <c r="D61" s="4">
        <v>19.56</v>
      </c>
      <c r="E61" s="4">
        <v>21.14</v>
      </c>
      <c r="F61" s="4">
        <v>21.6</v>
      </c>
      <c r="G61" s="4">
        <v>22.03</v>
      </c>
      <c r="H61" s="4">
        <v>22.53</v>
      </c>
      <c r="I61" s="4">
        <v>22.99</v>
      </c>
      <c r="J61" s="4">
        <v>23.45</v>
      </c>
      <c r="K61" s="4">
        <v>23.93</v>
      </c>
      <c r="L61" s="4">
        <v>24.47</v>
      </c>
      <c r="M61" s="4">
        <v>25.69</v>
      </c>
      <c r="N61" s="4">
        <v>29.17</v>
      </c>
      <c r="O61" s="4">
        <v>30.44</v>
      </c>
      <c r="P61" s="4">
        <v>52.7</v>
      </c>
      <c r="Q61" s="4"/>
      <c r="R61" s="4"/>
      <c r="S61" s="4"/>
      <c r="T61" s="4"/>
      <c r="U61" s="4"/>
      <c r="V61" s="4"/>
      <c r="W61" s="5"/>
      <c r="X61" s="6"/>
      <c r="Y61" s="10">
        <v>1219</v>
      </c>
      <c r="Z61" s="4" t="str">
        <f>ROUND(19.56*(1+T6)*(1+T5)+T7,2)</f>
        <v>0</v>
      </c>
      <c r="AA61" s="4" t="str">
        <f>ROUND(21.14*(1+T6)*(1+T5)+T7,2)</f>
        <v>0</v>
      </c>
      <c r="AB61" s="4" t="str">
        <f>ROUND(21.6*(1+T6)*(1+T5)+T7,2)</f>
        <v>0</v>
      </c>
      <c r="AC61" s="4" t="str">
        <f>ROUND(22.03*(1+T6)*(1+T5)+T7,2)</f>
        <v>0</v>
      </c>
      <c r="AD61" s="4" t="str">
        <f>ROUND(22.53*(1+T6)*(1+T5)+T7,2)</f>
        <v>0</v>
      </c>
      <c r="AE61" s="4" t="str">
        <f>ROUND(22.99*(1+T6)*(1+T5)+T7,2)</f>
        <v>0</v>
      </c>
      <c r="AF61" s="4" t="str">
        <f>ROUND(23.45*(1+T6)*(1+T5)+T7,2)</f>
        <v>0</v>
      </c>
      <c r="AG61" s="4" t="str">
        <f>ROUND(23.93*(1+T6)*(1+T5)+T7,2)</f>
        <v>0</v>
      </c>
      <c r="AH61" s="4" t="str">
        <f>ROUND(24.47*(1+T6)*(1+T5)+T7,2)</f>
        <v>0</v>
      </c>
      <c r="AI61" s="4" t="str">
        <f>ROUND(25.69*(1+T6)*(1+T5)+T7,2)</f>
        <v>0</v>
      </c>
      <c r="AJ61" s="4" t="str">
        <f>ROUND(29.17*(1+T6)*(1+T5)+T7,2)</f>
        <v>0</v>
      </c>
      <c r="AK61" s="4" t="str">
        <f>ROUND(30.44*(1+T6)*(1+T5)+T7,2)</f>
        <v>0</v>
      </c>
      <c r="AL61" s="4" t="str">
        <f>ROUND(52.7*(1+T6)*(1+T5)+T7,2)</f>
        <v>0</v>
      </c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</row>
    <row r="62" spans="1:56">
      <c r="A62" s="4"/>
      <c r="B62" s="6"/>
      <c r="C62" s="10">
        <v>1524</v>
      </c>
      <c r="D62" s="4">
        <v>22.39</v>
      </c>
      <c r="E62" s="4">
        <v>24.09</v>
      </c>
      <c r="F62" s="4">
        <v>24.59</v>
      </c>
      <c r="G62" s="4">
        <v>25.02</v>
      </c>
      <c r="H62" s="4">
        <v>25.53</v>
      </c>
      <c r="I62" s="4">
        <v>25.99</v>
      </c>
      <c r="J62" s="4">
        <v>26.44</v>
      </c>
      <c r="K62" s="4">
        <v>26.91</v>
      </c>
      <c r="L62" s="4">
        <v>27.48</v>
      </c>
      <c r="M62" s="4">
        <v>28.81</v>
      </c>
      <c r="N62" s="4">
        <v>32.29</v>
      </c>
      <c r="O62" s="4">
        <v>33.58</v>
      </c>
      <c r="P62" s="4">
        <v>56.98</v>
      </c>
      <c r="Q62" s="4"/>
      <c r="R62" s="4"/>
      <c r="S62" s="4"/>
      <c r="T62" s="4"/>
      <c r="U62" s="4"/>
      <c r="V62" s="4"/>
      <c r="W62" s="5"/>
      <c r="X62" s="6"/>
      <c r="Y62" s="10">
        <v>1524</v>
      </c>
      <c r="Z62" s="4" t="str">
        <f>ROUND(22.39*(1+T6)*(1+T5)+T7,2)</f>
        <v>0</v>
      </c>
      <c r="AA62" s="4" t="str">
        <f>ROUND(24.09*(1+T6)*(1+T5)+T7,2)</f>
        <v>0</v>
      </c>
      <c r="AB62" s="4" t="str">
        <f>ROUND(24.59*(1+T6)*(1+T5)+T7,2)</f>
        <v>0</v>
      </c>
      <c r="AC62" s="4" t="str">
        <f>ROUND(25.02*(1+T6)*(1+T5)+T7,2)</f>
        <v>0</v>
      </c>
      <c r="AD62" s="4" t="str">
        <f>ROUND(25.53*(1+T6)*(1+T5)+T7,2)</f>
        <v>0</v>
      </c>
      <c r="AE62" s="4" t="str">
        <f>ROUND(25.99*(1+T6)*(1+T5)+T7,2)</f>
        <v>0</v>
      </c>
      <c r="AF62" s="4" t="str">
        <f>ROUND(26.44*(1+T6)*(1+T5)+T7,2)</f>
        <v>0</v>
      </c>
      <c r="AG62" s="4" t="str">
        <f>ROUND(26.91*(1+T6)*(1+T5)+T7,2)</f>
        <v>0</v>
      </c>
      <c r="AH62" s="4" t="str">
        <f>ROUND(27.48*(1+T6)*(1+T5)+T7,2)</f>
        <v>0</v>
      </c>
      <c r="AI62" s="4" t="str">
        <f>ROUND(28.81*(1+T6)*(1+T5)+T7,2)</f>
        <v>0</v>
      </c>
      <c r="AJ62" s="4" t="str">
        <f>ROUND(32.29*(1+T6)*(1+T5)+T7,2)</f>
        <v>0</v>
      </c>
      <c r="AK62" s="4" t="str">
        <f>ROUND(33.58*(1+T6)*(1+T5)+T7,2)</f>
        <v>0</v>
      </c>
      <c r="AL62" s="4" t="str">
        <f>ROUND(56.98*(1+T6)*(1+T5)+T7,2)</f>
        <v>0</v>
      </c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</row>
    <row r="63" spans="1:56">
      <c r="A63" s="4"/>
      <c r="B63" s="6"/>
      <c r="C63" s="10">
        <v>1829</v>
      </c>
      <c r="D63" s="4">
        <v>25.24</v>
      </c>
      <c r="E63" s="4">
        <v>27.08</v>
      </c>
      <c r="F63" s="4">
        <v>27.57</v>
      </c>
      <c r="G63" s="4">
        <v>28.03</v>
      </c>
      <c r="H63" s="4">
        <v>28.49</v>
      </c>
      <c r="I63" s="4">
        <v>28.99</v>
      </c>
      <c r="J63" s="4">
        <v>29.45</v>
      </c>
      <c r="K63" s="4">
        <v>29.93</v>
      </c>
      <c r="L63" s="4">
        <v>30.44</v>
      </c>
      <c r="M63" s="4">
        <v>32</v>
      </c>
      <c r="N63" s="4">
        <v>35.44</v>
      </c>
      <c r="O63" s="4">
        <v>36.72</v>
      </c>
      <c r="P63" s="4">
        <v>68.02</v>
      </c>
      <c r="Q63" s="4"/>
      <c r="R63" s="4"/>
      <c r="S63" s="4"/>
      <c r="T63" s="4"/>
      <c r="U63" s="4"/>
      <c r="V63" s="4"/>
      <c r="W63" s="5"/>
      <c r="X63" s="6"/>
      <c r="Y63" s="10">
        <v>1829</v>
      </c>
      <c r="Z63" s="4" t="str">
        <f>ROUND(25.24*(1+T6)*(1+T5)+T7,2)</f>
        <v>0</v>
      </c>
      <c r="AA63" s="4" t="str">
        <f>ROUND(27.08*(1+T6)*(1+T5)+T7,2)</f>
        <v>0</v>
      </c>
      <c r="AB63" s="4" t="str">
        <f>ROUND(27.57*(1+T6)*(1+T5)+T7,2)</f>
        <v>0</v>
      </c>
      <c r="AC63" s="4" t="str">
        <f>ROUND(28.03*(1+T6)*(1+T5)+T7,2)</f>
        <v>0</v>
      </c>
      <c r="AD63" s="4" t="str">
        <f>ROUND(28.49*(1+T6)*(1+T5)+T7,2)</f>
        <v>0</v>
      </c>
      <c r="AE63" s="4" t="str">
        <f>ROUND(28.99*(1+T6)*(1+T5)+T7,2)</f>
        <v>0</v>
      </c>
      <c r="AF63" s="4" t="str">
        <f>ROUND(29.45*(1+T6)*(1+T5)+T7,2)</f>
        <v>0</v>
      </c>
      <c r="AG63" s="4" t="str">
        <f>ROUND(29.93*(1+T6)*(1+T5)+T7,2)</f>
        <v>0</v>
      </c>
      <c r="AH63" s="4" t="str">
        <f>ROUND(30.44*(1+T6)*(1+T5)+T7,2)</f>
        <v>0</v>
      </c>
      <c r="AI63" s="4" t="str">
        <f>ROUND(32*(1+T6)*(1+T5)+T7,2)</f>
        <v>0</v>
      </c>
      <c r="AJ63" s="4" t="str">
        <f>ROUND(35.44*(1+T6)*(1+T5)+T7,2)</f>
        <v>0</v>
      </c>
      <c r="AK63" s="4" t="str">
        <f>ROUND(36.72*(1+T6)*(1+T5)+T7,2)</f>
        <v>0</v>
      </c>
      <c r="AL63" s="4" t="str">
        <f>ROUND(68.02*(1+T6)*(1+T5)+T7,2)</f>
        <v>0</v>
      </c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</row>
    <row r="64" spans="1:56">
      <c r="A64" s="4"/>
      <c r="B64" s="6"/>
      <c r="C64" s="10">
        <v>2134</v>
      </c>
      <c r="D64" s="4">
        <v>28.06</v>
      </c>
      <c r="E64" s="4">
        <v>30.1</v>
      </c>
      <c r="F64" s="4">
        <v>30.57</v>
      </c>
      <c r="G64" s="4">
        <v>31.04</v>
      </c>
      <c r="H64" s="4">
        <v>31.49</v>
      </c>
      <c r="I64" s="4">
        <v>32</v>
      </c>
      <c r="J64" s="4">
        <v>32.46</v>
      </c>
      <c r="K64" s="4">
        <v>32.89</v>
      </c>
      <c r="L64" s="4">
        <v>33.43</v>
      </c>
      <c r="M64" s="4">
        <v>35.11</v>
      </c>
      <c r="N64" s="4">
        <v>57.92</v>
      </c>
      <c r="O64" s="4">
        <v>59.19</v>
      </c>
      <c r="P64" s="4">
        <v>72.26</v>
      </c>
      <c r="Q64" s="4"/>
      <c r="R64" s="4"/>
      <c r="S64" s="4"/>
      <c r="T64" s="4"/>
      <c r="U64" s="4"/>
      <c r="V64" s="4"/>
      <c r="W64" s="5"/>
      <c r="X64" s="6"/>
      <c r="Y64" s="10">
        <v>2134</v>
      </c>
      <c r="Z64" s="4" t="str">
        <f>ROUND(28.06*(1+T6)*(1+T5)+T7,2)</f>
        <v>0</v>
      </c>
      <c r="AA64" s="4" t="str">
        <f>ROUND(30.1*(1+T6)*(1+T5)+T7,2)</f>
        <v>0</v>
      </c>
      <c r="AB64" s="4" t="str">
        <f>ROUND(30.57*(1+T6)*(1+T5)+T7,2)</f>
        <v>0</v>
      </c>
      <c r="AC64" s="4" t="str">
        <f>ROUND(31.04*(1+T6)*(1+T5)+T7,2)</f>
        <v>0</v>
      </c>
      <c r="AD64" s="4" t="str">
        <f>ROUND(31.49*(1+T6)*(1+T5)+T7,2)</f>
        <v>0</v>
      </c>
      <c r="AE64" s="4" t="str">
        <f>ROUND(32*(1+T6)*(1+T5)+T7,2)</f>
        <v>0</v>
      </c>
      <c r="AF64" s="4" t="str">
        <f>ROUND(32.46*(1+T6)*(1+T5)+T7,2)</f>
        <v>0</v>
      </c>
      <c r="AG64" s="4" t="str">
        <f>ROUND(32.89*(1+T6)*(1+T5)+T7,2)</f>
        <v>0</v>
      </c>
      <c r="AH64" s="4" t="str">
        <f>ROUND(33.43*(1+T6)*(1+T5)+T7,2)</f>
        <v>0</v>
      </c>
      <c r="AI64" s="4" t="str">
        <f>ROUND(35.11*(1+T6)*(1+T5)+T7,2)</f>
        <v>0</v>
      </c>
      <c r="AJ64" s="4" t="str">
        <f>ROUND(57.92*(1+T6)*(1+T5)+T7,2)</f>
        <v>0</v>
      </c>
      <c r="AK64" s="4" t="str">
        <f>ROUND(59.19*(1+T6)*(1+T5)+T7,2)</f>
        <v>0</v>
      </c>
      <c r="AL64" s="4" t="str">
        <f>ROUND(72.26*(1+T6)*(1+T5)+T7,2)</f>
        <v>0</v>
      </c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</row>
    <row r="65" spans="1:56">
      <c r="A65" s="4"/>
      <c r="B65" s="6"/>
      <c r="C65" s="10">
        <v>2438</v>
      </c>
      <c r="D65" s="4">
        <v>30.88</v>
      </c>
      <c r="E65" s="4">
        <v>33.07</v>
      </c>
      <c r="F65" s="4">
        <v>33.55</v>
      </c>
      <c r="G65" s="4">
        <v>34</v>
      </c>
      <c r="H65" s="4">
        <v>34.47</v>
      </c>
      <c r="I65" s="4">
        <v>34.94</v>
      </c>
      <c r="J65" s="4">
        <v>35.44</v>
      </c>
      <c r="K65" s="4">
        <v>35.88</v>
      </c>
      <c r="L65" s="4">
        <v>36.42</v>
      </c>
      <c r="M65" s="4">
        <v>38.24</v>
      </c>
      <c r="N65" s="4">
        <v>64.09</v>
      </c>
      <c r="O65" s="4">
        <v>65.39</v>
      </c>
      <c r="P65" s="4">
        <v>76.51</v>
      </c>
      <c r="Q65" s="4"/>
      <c r="R65" s="4"/>
      <c r="S65" s="4"/>
      <c r="T65" s="4"/>
      <c r="U65" s="4"/>
      <c r="V65" s="4"/>
      <c r="W65" s="5"/>
      <c r="X65" s="6"/>
      <c r="Y65" s="10">
        <v>2438</v>
      </c>
      <c r="Z65" s="4" t="str">
        <f>ROUND(30.88*(1+T6)*(1+T5)+T7,2)</f>
        <v>0</v>
      </c>
      <c r="AA65" s="4" t="str">
        <f>ROUND(33.07*(1+T6)*(1+T5)+T7,2)</f>
        <v>0</v>
      </c>
      <c r="AB65" s="4" t="str">
        <f>ROUND(33.55*(1+T6)*(1+T5)+T7,2)</f>
        <v>0</v>
      </c>
      <c r="AC65" s="4" t="str">
        <f>ROUND(34*(1+T6)*(1+T5)+T7,2)</f>
        <v>0</v>
      </c>
      <c r="AD65" s="4" t="str">
        <f>ROUND(34.47*(1+T6)*(1+T5)+T7,2)</f>
        <v>0</v>
      </c>
      <c r="AE65" s="4" t="str">
        <f>ROUND(34.94*(1+T6)*(1+T5)+T7,2)</f>
        <v>0</v>
      </c>
      <c r="AF65" s="4" t="str">
        <f>ROUND(35.44*(1+T6)*(1+T5)+T7,2)</f>
        <v>0</v>
      </c>
      <c r="AG65" s="4" t="str">
        <f>ROUND(35.88*(1+T6)*(1+T5)+T7,2)</f>
        <v>0</v>
      </c>
      <c r="AH65" s="4" t="str">
        <f>ROUND(36.42*(1+T6)*(1+T5)+T7,2)</f>
        <v>0</v>
      </c>
      <c r="AI65" s="4" t="str">
        <f>ROUND(38.24*(1+T6)*(1+T5)+T7,2)</f>
        <v>0</v>
      </c>
      <c r="AJ65" s="4" t="str">
        <f>ROUND(64.09*(1+T6)*(1+T5)+T7,2)</f>
        <v>0</v>
      </c>
      <c r="AK65" s="4" t="str">
        <f>ROUND(65.39*(1+T6)*(1+T5)+T7,2)</f>
        <v>0</v>
      </c>
      <c r="AL65" s="4" t="str">
        <f>ROUND(76.51*(1+T6)*(1+T5)+T7,2)</f>
        <v>0</v>
      </c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</row>
    <row r="66" spans="1:5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</row>
    <row r="67" spans="1:5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</row>
    <row r="68" spans="1:5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</row>
    <row r="69" spans="1:5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</row>
    <row r="70" spans="1:5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</row>
    <row r="71" spans="1:5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</row>
    <row r="72" spans="1:5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</row>
    <row r="73" spans="1:5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</row>
    <row r="74" spans="1:5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</row>
    <row r="75" spans="1:5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</row>
    <row r="76" spans="1:5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</row>
    <row r="77" spans="1:5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</row>
    <row r="78" spans="1:5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</row>
    <row r="79" spans="1:5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</row>
    <row r="80" spans="1:5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</row>
    <row r="81" spans="1:5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</row>
    <row r="82" spans="1:5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</row>
    <row r="83" spans="1:5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</row>
    <row r="84" spans="1:5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</row>
    <row r="85" spans="1:5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</row>
    <row r="86" spans="1:5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</row>
    <row r="87" spans="1:5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</row>
    <row r="88" spans="1:5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</row>
    <row r="89" spans="1:5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</row>
    <row r="90" spans="1:5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</row>
    <row r="91" spans="1:5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</row>
    <row r="92" spans="1:5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</row>
    <row r="93" spans="1:5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</row>
    <row r="94" spans="1:5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</row>
    <row r="95" spans="1:5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</row>
    <row r="96" spans="1:5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</row>
    <row r="97" spans="1:5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</row>
    <row r="98" spans="1:5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</row>
    <row r="99" spans="1:5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</row>
    <row r="100" spans="1:5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</row>
    <row r="101" spans="1:5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</row>
    <row r="102" spans="1:5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</row>
    <row r="103" spans="1:5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</row>
    <row r="104" spans="1:5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</row>
    <row r="105" spans="1:5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</row>
    <row r="106" spans="1:5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</row>
    <row r="107" spans="1:5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</row>
    <row r="108" spans="1:5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</row>
    <row r="109" spans="1:5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</row>
    <row r="110" spans="1:5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</row>
    <row r="111" spans="1:5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</row>
  </sheetData>
  <mergeCells>
    <mergeCell ref="C8:P8"/>
    <mergeCell ref="Q8:X8"/>
    <mergeCell ref="Y8:AL8"/>
    <mergeCell ref="C9:P9"/>
    <mergeCell ref="Q9:W9"/>
    <mergeCell ref="Y9:AL9"/>
    <mergeCell ref="C11:P11"/>
    <mergeCell ref="Q11:W11"/>
    <mergeCell ref="Y11:AL11"/>
    <mergeCell ref="C12:P12"/>
    <mergeCell ref="Q12:W12"/>
    <mergeCell ref="Y12:AL12"/>
    <mergeCell ref="C13:P13"/>
    <mergeCell ref="Q13:W13"/>
    <mergeCell ref="Y13:AL13"/>
    <mergeCell ref="Q14:W14"/>
    <mergeCell ref="B15:B23"/>
    <mergeCell ref="Q15:W15"/>
    <mergeCell ref="X15:X23"/>
    <mergeCell ref="Q16:W16"/>
    <mergeCell ref="Q17:W17"/>
    <mergeCell ref="Q18:W18"/>
    <mergeCell ref="Q19:W19"/>
    <mergeCell ref="Q20:W20"/>
    <mergeCell ref="Q21:W21"/>
    <mergeCell ref="Q22:W22"/>
    <mergeCell ref="Q23:W23"/>
    <mergeCell ref="C25:P25"/>
    <mergeCell ref="Q25:W25"/>
    <mergeCell ref="Y25:AL25"/>
    <mergeCell ref="C26:P26"/>
    <mergeCell ref="Q26:W26"/>
    <mergeCell ref="Y26:AL26"/>
    <mergeCell ref="C27:P27"/>
    <mergeCell ref="Q27:W27"/>
    <mergeCell ref="Y27:AL27"/>
    <mergeCell ref="Q28:W28"/>
    <mergeCell ref="B29:B37"/>
    <mergeCell ref="Q29:W29"/>
    <mergeCell ref="X29:X37"/>
    <mergeCell ref="Q30:W30"/>
    <mergeCell ref="Q31:W31"/>
    <mergeCell ref="Q32:W32"/>
    <mergeCell ref="Q33:W33"/>
    <mergeCell ref="Q34:W34"/>
    <mergeCell ref="Q35:W35"/>
    <mergeCell ref="Q36:W36"/>
    <mergeCell ref="Q37:W37"/>
    <mergeCell ref="C39:P39"/>
    <mergeCell ref="Q39:W39"/>
    <mergeCell ref="Y39:AL39"/>
    <mergeCell ref="C40:P40"/>
    <mergeCell ref="Q40:W40"/>
    <mergeCell ref="Y40:AL40"/>
    <mergeCell ref="C41:P41"/>
    <mergeCell ref="Q41:W41"/>
    <mergeCell ref="Y41:AL41"/>
    <mergeCell ref="Q42:W42"/>
    <mergeCell ref="B43:B51"/>
    <mergeCell ref="Q43:W43"/>
    <mergeCell ref="X43:X51"/>
    <mergeCell ref="Q44:W44"/>
    <mergeCell ref="Q45:W45"/>
    <mergeCell ref="Q46:W46"/>
    <mergeCell ref="Q47:W47"/>
    <mergeCell ref="Q48:W48"/>
    <mergeCell ref="Q49:W49"/>
    <mergeCell ref="Q50:W50"/>
    <mergeCell ref="Q51:W51"/>
    <mergeCell ref="C53:P53"/>
    <mergeCell ref="Q53:W53"/>
    <mergeCell ref="Y53:AL53"/>
    <mergeCell ref="C54:P54"/>
    <mergeCell ref="Q54:W54"/>
    <mergeCell ref="Y54:AL54"/>
    <mergeCell ref="C55:P55"/>
    <mergeCell ref="Q55:W55"/>
    <mergeCell ref="Y55:AL55"/>
    <mergeCell ref="Q56:W56"/>
    <mergeCell ref="B57:B65"/>
    <mergeCell ref="Q57:W57"/>
    <mergeCell ref="X57:X65"/>
    <mergeCell ref="Q58:W58"/>
    <mergeCell ref="Q59:W59"/>
    <mergeCell ref="Q60:W60"/>
    <mergeCell ref="Q61:W61"/>
    <mergeCell ref="Q62:W62"/>
    <mergeCell ref="Q63:W63"/>
    <mergeCell ref="Q64:W64"/>
    <mergeCell ref="Q65:W6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Price Calculator Prime Roller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2026-07-07T15:12:27+00:00</dcterms:created>
  <dcterms:modified xsi:type="dcterms:W3CDTF">2026-07-07T15:12:27+00:00</dcterms:modified>
  <dc:title>Prime Roller Price List</dc:title>
  <dc:description/>
  <dc:subject/>
  <cp:keywords/>
  <cp:category/>
</cp:coreProperties>
</file>