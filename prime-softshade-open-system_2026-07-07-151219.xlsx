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Prime Softsha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<sst xmlns="http://schemas.openxmlformats.org/spreadsheetml/2006/main" uniqueCount="27">
  <si>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DISCOUNTED PRICE TABLES 2026</t>
  </si>
  <si>
    <t>Account Code:</t>
  </si>
  <si>
    <t>BLIN418</t>
  </si>
  <si>
    <t>Product</t>
  </si>
  <si>
    <t>Discount %</t>
  </si>
  <si>
    <t>Prime Softshade - A</t>
  </si>
  <si>
    <t>35%</t>
  </si>
  <si>
    <t>Prime Softshade - B</t>
  </si>
  <si>
    <t>Prime Softshade - D</t>
  </si>
  <si>
    <t>Adjust the values above to update the suggested sell price tables.</t>
  </si>
  <si>
    <t>DISCOUNTED COST</t>
  </si>
  <si>
    <t>SUGGESTED SELL PRICE</t>
  </si>
  <si>
    <t>Prime Softshade - Prime Softshade - Open System - PRICE RANGE A</t>
  </si>
  <si>
    <t>Luna</t>
  </si>
  <si>
    <t>WIDTH</t>
  </si>
  <si>
    <t>(mm)</t>
  </si>
  <si>
    <t>DROP</t>
  </si>
  <si>
    <t>Prime Softshade - Prime Softshade - Open System - PRICE RANGE B</t>
  </si>
  <si>
    <t>Rift</t>
  </si>
  <si>
    <t>Prime Softshade - Prime Softshade - Open System - PRICE RANGE D</t>
  </si>
  <si>
    <t>Kanza, Nobis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</si>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</sst>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111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27" max="27" width="28.279" bestFit="true" customWidth="true" style="0"/>
    <col min="28" max="28" width="11.711" bestFit="true" customWidth="true" style="0"/>
    <col min="31" max="31" width="4" customWidth="true" style="0"/>
    <col min="32" max="32" width="4" customWidth="true" style="0"/>
  </cols>
  <sheetData>
    <row r="1" spans="1:5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56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5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56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3" t="s">
        <v>1</v>
      </c>
      <c r="AB4" s="14" t="str">
        <f>Summary!$B$2</f>
        <v>0</v>
      </c>
      <c r="AC4" s="4"/>
      <c r="AD4" s="4"/>
      <c r="AE4" s="4"/>
      <c r="AF4" s="5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3" t="s">
        <v>21</v>
      </c>
      <c r="AB5" s="15" t="s">
        <v>24</v>
      </c>
      <c r="AC5" s="4"/>
      <c r="AD5" s="4"/>
      <c r="AE5" s="4"/>
      <c r="AF5" s="5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3" t="s">
        <v>22</v>
      </c>
      <c r="AB6" s="15" t="s">
        <v>25</v>
      </c>
      <c r="AC6" s="4"/>
      <c r="AD6" s="4"/>
      <c r="AE6" s="4"/>
      <c r="AF6" s="5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3" t="s">
        <v>23</v>
      </c>
      <c r="AB7" s="14" t="s">
        <v>26</v>
      </c>
      <c r="AC7" s="4"/>
      <c r="AD7" s="4"/>
      <c r="AE7" s="4"/>
      <c r="AF7" s="5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2" t="s">
        <v>9</v>
      </c>
      <c r="Z8" s="12"/>
      <c r="AA8" s="12"/>
      <c r="AB8" s="12"/>
      <c r="AC8" s="12"/>
      <c r="AD8" s="12"/>
      <c r="AE8" s="16"/>
      <c r="AF8" s="16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>
      <c r="A9" s="4"/>
      <c r="B9" s="5"/>
      <c r="C9" s="7" t="s">
        <v>10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4"/>
      <c r="Z9" s="4"/>
      <c r="AA9" s="4"/>
      <c r="AB9" s="4"/>
      <c r="AC9" s="4"/>
      <c r="AD9" s="4"/>
      <c r="AE9" s="5"/>
      <c r="AF9" s="5"/>
      <c r="AG9" s="7" t="s">
        <v>11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4"/>
      <c r="BD9" s="4"/>
    </row>
    <row r="10" spans="1:56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5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>
      <c r="A11" s="4"/>
      <c r="B11" s="5"/>
      <c r="C11" s="8" t="s">
        <v>12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4"/>
      <c r="Z11" s="4"/>
      <c r="AA11" s="4"/>
      <c r="AB11" s="4"/>
      <c r="AC11" s="4"/>
      <c r="AD11" s="4"/>
      <c r="AE11" s="5"/>
      <c r="AF11" s="5"/>
      <c r="AG11" s="8" t="s">
        <v>12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4"/>
      <c r="BD11" s="4"/>
    </row>
    <row r="12" spans="1:56">
      <c r="A12" s="4"/>
      <c r="B12" s="5"/>
      <c r="C12" s="8" t="s">
        <v>13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4"/>
      <c r="Z12" s="4"/>
      <c r="AA12" s="4"/>
      <c r="AB12" s="4"/>
      <c r="AC12" s="4"/>
      <c r="AD12" s="4"/>
      <c r="AE12" s="5"/>
      <c r="AF12" s="5"/>
      <c r="AG12" s="8" t="s">
        <v>13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4"/>
      <c r="BD12" s="4"/>
    </row>
    <row r="13" spans="1:56">
      <c r="A13" s="4"/>
      <c r="B13" s="5"/>
      <c r="C13" s="9" t="s">
        <v>14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4"/>
      <c r="Z13" s="4"/>
      <c r="AA13" s="4"/>
      <c r="AB13" s="4"/>
      <c r="AC13" s="4"/>
      <c r="AD13" s="4"/>
      <c r="AE13" s="5"/>
      <c r="AF13" s="5"/>
      <c r="AG13" s="9" t="s">
        <v>14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4"/>
      <c r="BD13" s="4"/>
    </row>
    <row r="14" spans="1:56">
      <c r="A14" s="4"/>
      <c r="B14" s="6"/>
      <c r="C14" s="10" t="s">
        <v>15</v>
      </c>
      <c r="D14" s="10">
        <v>300</v>
      </c>
      <c r="E14" s="10">
        <v>400</v>
      </c>
      <c r="F14" s="10">
        <v>500</v>
      </c>
      <c r="G14" s="10">
        <v>600</v>
      </c>
      <c r="H14" s="10">
        <v>700</v>
      </c>
      <c r="I14" s="10">
        <v>800</v>
      </c>
      <c r="J14" s="10">
        <v>900</v>
      </c>
      <c r="K14" s="10">
        <v>1000</v>
      </c>
      <c r="L14" s="10">
        <v>1100</v>
      </c>
      <c r="M14" s="10">
        <v>1200</v>
      </c>
      <c r="N14" s="10">
        <v>1300</v>
      </c>
      <c r="O14" s="10">
        <v>1400</v>
      </c>
      <c r="P14" s="10">
        <v>1500</v>
      </c>
      <c r="Q14" s="10">
        <v>1600</v>
      </c>
      <c r="R14" s="10">
        <v>1700</v>
      </c>
      <c r="S14" s="10">
        <v>1800</v>
      </c>
      <c r="T14" s="10">
        <v>1900</v>
      </c>
      <c r="U14" s="10">
        <v>2000</v>
      </c>
      <c r="V14" s="10">
        <v>2100</v>
      </c>
      <c r="W14" s="10">
        <v>2200</v>
      </c>
      <c r="X14" s="10">
        <v>2300</v>
      </c>
      <c r="Y14" s="4"/>
      <c r="Z14" s="4"/>
      <c r="AA14" s="4"/>
      <c r="AB14" s="4"/>
      <c r="AC14" s="4"/>
      <c r="AD14" s="4"/>
      <c r="AE14" s="5"/>
      <c r="AF14" s="6"/>
      <c r="AG14" s="10" t="s">
        <v>15</v>
      </c>
      <c r="AH14" s="10">
        <v>300</v>
      </c>
      <c r="AI14" s="10">
        <v>400</v>
      </c>
      <c r="AJ14" s="10">
        <v>500</v>
      </c>
      <c r="AK14" s="10">
        <v>600</v>
      </c>
      <c r="AL14" s="10">
        <v>700</v>
      </c>
      <c r="AM14" s="10">
        <v>800</v>
      </c>
      <c r="AN14" s="10">
        <v>900</v>
      </c>
      <c r="AO14" s="10">
        <v>1000</v>
      </c>
      <c r="AP14" s="10">
        <v>1100</v>
      </c>
      <c r="AQ14" s="10">
        <v>1200</v>
      </c>
      <c r="AR14" s="10">
        <v>1300</v>
      </c>
      <c r="AS14" s="10">
        <v>1400</v>
      </c>
      <c r="AT14" s="10">
        <v>1500</v>
      </c>
      <c r="AU14" s="10">
        <v>1600</v>
      </c>
      <c r="AV14" s="10">
        <v>1700</v>
      </c>
      <c r="AW14" s="10">
        <v>1800</v>
      </c>
      <c r="AX14" s="10">
        <v>1900</v>
      </c>
      <c r="AY14" s="10">
        <v>2000</v>
      </c>
      <c r="AZ14" s="10">
        <v>2100</v>
      </c>
      <c r="BA14" s="10">
        <v>2200</v>
      </c>
      <c r="BB14" s="10">
        <v>2300</v>
      </c>
      <c r="BC14" s="4"/>
      <c r="BD14" s="4"/>
    </row>
    <row r="15" spans="1:56">
      <c r="A15" s="4"/>
      <c r="B15" s="6" t="s">
        <v>16</v>
      </c>
      <c r="C15" s="10">
        <v>1000</v>
      </c>
      <c r="D15" s="4">
        <v>28.41</v>
      </c>
      <c r="E15" s="4">
        <v>31.75</v>
      </c>
      <c r="F15" s="4">
        <v>35.11</v>
      </c>
      <c r="G15" s="4">
        <v>38.48</v>
      </c>
      <c r="H15" s="4">
        <v>41.83</v>
      </c>
      <c r="I15" s="4">
        <v>45.21</v>
      </c>
      <c r="J15" s="4">
        <v>48.56</v>
      </c>
      <c r="K15" s="4">
        <v>51.9</v>
      </c>
      <c r="L15" s="4">
        <v>55.72</v>
      </c>
      <c r="M15" s="4">
        <v>59.07</v>
      </c>
      <c r="N15" s="4">
        <v>62.45</v>
      </c>
      <c r="O15" s="4">
        <v>65.79</v>
      </c>
      <c r="P15" s="4">
        <v>69.15</v>
      </c>
      <c r="Q15" s="4">
        <v>72.98</v>
      </c>
      <c r="R15" s="4">
        <v>76.34</v>
      </c>
      <c r="S15" s="4">
        <v>79.68</v>
      </c>
      <c r="T15" s="4">
        <v>83.06</v>
      </c>
      <c r="U15" s="4">
        <v>86.4</v>
      </c>
      <c r="V15" s="4">
        <v>90.22</v>
      </c>
      <c r="W15" s="4">
        <v>93.57</v>
      </c>
      <c r="X15" s="4">
        <v>96.92</v>
      </c>
      <c r="Y15" s="4"/>
      <c r="Z15" s="4"/>
      <c r="AA15" s="4"/>
      <c r="AB15" s="4"/>
      <c r="AC15" s="4"/>
      <c r="AD15" s="4"/>
      <c r="AE15" s="5"/>
      <c r="AF15" s="6" t="s">
        <v>16</v>
      </c>
      <c r="AG15" s="10">
        <v>1000</v>
      </c>
      <c r="AH15" s="4" t="str">
        <f>ROUND(28.41*(1+AB6)*(1+AB5)+AB7,2)</f>
        <v>0</v>
      </c>
      <c r="AI15" s="4" t="str">
        <f>ROUND(31.75*(1+AB6)*(1+AB5)+AB7,2)</f>
        <v>0</v>
      </c>
      <c r="AJ15" s="4" t="str">
        <f>ROUND(35.11*(1+AB6)*(1+AB5)+AB7,2)</f>
        <v>0</v>
      </c>
      <c r="AK15" s="4" t="str">
        <f>ROUND(38.48*(1+AB6)*(1+AB5)+AB7,2)</f>
        <v>0</v>
      </c>
      <c r="AL15" s="4" t="str">
        <f>ROUND(41.83*(1+AB6)*(1+AB5)+AB7,2)</f>
        <v>0</v>
      </c>
      <c r="AM15" s="4" t="str">
        <f>ROUND(45.21*(1+AB6)*(1+AB5)+AB7,2)</f>
        <v>0</v>
      </c>
      <c r="AN15" s="4" t="str">
        <f>ROUND(48.56*(1+AB6)*(1+AB5)+AB7,2)</f>
        <v>0</v>
      </c>
      <c r="AO15" s="4" t="str">
        <f>ROUND(51.9*(1+AB6)*(1+AB5)+AB7,2)</f>
        <v>0</v>
      </c>
      <c r="AP15" s="4" t="str">
        <f>ROUND(55.72*(1+AB6)*(1+AB5)+AB7,2)</f>
        <v>0</v>
      </c>
      <c r="AQ15" s="4" t="str">
        <f>ROUND(59.07*(1+AB6)*(1+AB5)+AB7,2)</f>
        <v>0</v>
      </c>
      <c r="AR15" s="4" t="str">
        <f>ROUND(62.45*(1+AB6)*(1+AB5)+AB7,2)</f>
        <v>0</v>
      </c>
      <c r="AS15" s="4" t="str">
        <f>ROUND(65.79*(1+AB6)*(1+AB5)+AB7,2)</f>
        <v>0</v>
      </c>
      <c r="AT15" s="4" t="str">
        <f>ROUND(69.15*(1+AB6)*(1+AB5)+AB7,2)</f>
        <v>0</v>
      </c>
      <c r="AU15" s="4" t="str">
        <f>ROUND(72.98*(1+AB6)*(1+AB5)+AB7,2)</f>
        <v>0</v>
      </c>
      <c r="AV15" s="4" t="str">
        <f>ROUND(76.34*(1+AB6)*(1+AB5)+AB7,2)</f>
        <v>0</v>
      </c>
      <c r="AW15" s="4" t="str">
        <f>ROUND(79.68*(1+AB6)*(1+AB5)+AB7,2)</f>
        <v>0</v>
      </c>
      <c r="AX15" s="4" t="str">
        <f>ROUND(83.06*(1+AB6)*(1+AB5)+AB7,2)</f>
        <v>0</v>
      </c>
      <c r="AY15" s="4" t="str">
        <f>ROUND(86.4*(1+AB6)*(1+AB5)+AB7,2)</f>
        <v>0</v>
      </c>
      <c r="AZ15" s="4" t="str">
        <f>ROUND(90.22*(1+AB6)*(1+AB5)+AB7,2)</f>
        <v>0</v>
      </c>
      <c r="BA15" s="4" t="str">
        <f>ROUND(93.57*(1+AB6)*(1+AB5)+AB7,2)</f>
        <v>0</v>
      </c>
      <c r="BB15" s="4" t="str">
        <f>ROUND(96.92*(1+AB6)*(1+AB5)+AB7,2)</f>
        <v>0</v>
      </c>
      <c r="BC15" s="4"/>
      <c r="BD15" s="4"/>
    </row>
    <row r="16" spans="1:56">
      <c r="A16" s="4"/>
      <c r="B16" s="6"/>
      <c r="C16" s="10">
        <v>1100</v>
      </c>
      <c r="D16" s="4">
        <v>28.7</v>
      </c>
      <c r="E16" s="4">
        <v>32.12</v>
      </c>
      <c r="F16" s="4">
        <v>35.56</v>
      </c>
      <c r="G16" s="4">
        <v>39.01</v>
      </c>
      <c r="H16" s="4">
        <v>42.47</v>
      </c>
      <c r="I16" s="4">
        <v>45.92</v>
      </c>
      <c r="J16" s="4">
        <v>49.34</v>
      </c>
      <c r="K16" s="4">
        <v>52.79</v>
      </c>
      <c r="L16" s="4">
        <v>56.68</v>
      </c>
      <c r="M16" s="4">
        <v>60.13</v>
      </c>
      <c r="N16" s="4">
        <v>63.57</v>
      </c>
      <c r="O16" s="4">
        <v>67.02</v>
      </c>
      <c r="P16" s="4">
        <v>70.46</v>
      </c>
      <c r="Q16" s="4">
        <v>74.35</v>
      </c>
      <c r="R16" s="4">
        <v>77.78</v>
      </c>
      <c r="S16" s="4">
        <v>81.22</v>
      </c>
      <c r="T16" s="4">
        <v>84.68</v>
      </c>
      <c r="U16" s="4">
        <v>88.11</v>
      </c>
      <c r="V16" s="4">
        <v>92.01</v>
      </c>
      <c r="W16" s="4">
        <v>95.47</v>
      </c>
      <c r="X16" s="4">
        <v>98.88</v>
      </c>
      <c r="Y16" s="4"/>
      <c r="Z16" s="4"/>
      <c r="AA16" s="4"/>
      <c r="AB16" s="4"/>
      <c r="AC16" s="4"/>
      <c r="AD16" s="4"/>
      <c r="AE16" s="5"/>
      <c r="AF16" s="6"/>
      <c r="AG16" s="10">
        <v>1100</v>
      </c>
      <c r="AH16" s="4" t="str">
        <f>ROUND(28.7*(1+AB6)*(1+AB5)+AB7,2)</f>
        <v>0</v>
      </c>
      <c r="AI16" s="4" t="str">
        <f>ROUND(32.12*(1+AB6)*(1+AB5)+AB7,2)</f>
        <v>0</v>
      </c>
      <c r="AJ16" s="4" t="str">
        <f>ROUND(35.56*(1+AB6)*(1+AB5)+AB7,2)</f>
        <v>0</v>
      </c>
      <c r="AK16" s="4" t="str">
        <f>ROUND(39.01*(1+AB6)*(1+AB5)+AB7,2)</f>
        <v>0</v>
      </c>
      <c r="AL16" s="4" t="str">
        <f>ROUND(42.47*(1+AB6)*(1+AB5)+AB7,2)</f>
        <v>0</v>
      </c>
      <c r="AM16" s="4" t="str">
        <f>ROUND(45.92*(1+AB6)*(1+AB5)+AB7,2)</f>
        <v>0</v>
      </c>
      <c r="AN16" s="4" t="str">
        <f>ROUND(49.34*(1+AB6)*(1+AB5)+AB7,2)</f>
        <v>0</v>
      </c>
      <c r="AO16" s="4" t="str">
        <f>ROUND(52.79*(1+AB6)*(1+AB5)+AB7,2)</f>
        <v>0</v>
      </c>
      <c r="AP16" s="4" t="str">
        <f>ROUND(56.68*(1+AB6)*(1+AB5)+AB7,2)</f>
        <v>0</v>
      </c>
      <c r="AQ16" s="4" t="str">
        <f>ROUND(60.13*(1+AB6)*(1+AB5)+AB7,2)</f>
        <v>0</v>
      </c>
      <c r="AR16" s="4" t="str">
        <f>ROUND(63.57*(1+AB6)*(1+AB5)+AB7,2)</f>
        <v>0</v>
      </c>
      <c r="AS16" s="4" t="str">
        <f>ROUND(67.02*(1+AB6)*(1+AB5)+AB7,2)</f>
        <v>0</v>
      </c>
      <c r="AT16" s="4" t="str">
        <f>ROUND(70.46*(1+AB6)*(1+AB5)+AB7,2)</f>
        <v>0</v>
      </c>
      <c r="AU16" s="4" t="str">
        <f>ROUND(74.35*(1+AB6)*(1+AB5)+AB7,2)</f>
        <v>0</v>
      </c>
      <c r="AV16" s="4" t="str">
        <f>ROUND(77.78*(1+AB6)*(1+AB5)+AB7,2)</f>
        <v>0</v>
      </c>
      <c r="AW16" s="4" t="str">
        <f>ROUND(81.22*(1+AB6)*(1+AB5)+AB7,2)</f>
        <v>0</v>
      </c>
      <c r="AX16" s="4" t="str">
        <f>ROUND(84.68*(1+AB6)*(1+AB5)+AB7,2)</f>
        <v>0</v>
      </c>
      <c r="AY16" s="4" t="str">
        <f>ROUND(88.11*(1+AB6)*(1+AB5)+AB7,2)</f>
        <v>0</v>
      </c>
      <c r="AZ16" s="4" t="str">
        <f>ROUND(92.01*(1+AB6)*(1+AB5)+AB7,2)</f>
        <v>0</v>
      </c>
      <c r="BA16" s="4" t="str">
        <f>ROUND(95.47*(1+AB6)*(1+AB5)+AB7,2)</f>
        <v>0</v>
      </c>
      <c r="BB16" s="4" t="str">
        <f>ROUND(98.88*(1+AB6)*(1+AB5)+AB7,2)</f>
        <v>0</v>
      </c>
      <c r="BC16" s="4"/>
      <c r="BD16" s="4"/>
    </row>
    <row r="17" spans="1:56">
      <c r="A17" s="4"/>
      <c r="B17" s="6"/>
      <c r="C17" s="10">
        <v>1200</v>
      </c>
      <c r="D17" s="4">
        <v>29</v>
      </c>
      <c r="E17" s="4">
        <v>32.53</v>
      </c>
      <c r="F17" s="4">
        <v>36.04</v>
      </c>
      <c r="G17" s="4">
        <v>39.55</v>
      </c>
      <c r="H17" s="4">
        <v>43.08</v>
      </c>
      <c r="I17" s="4">
        <v>46.62</v>
      </c>
      <c r="J17" s="4">
        <v>50.14</v>
      </c>
      <c r="K17" s="4">
        <v>53.66</v>
      </c>
      <c r="L17" s="4">
        <v>57.66</v>
      </c>
      <c r="M17" s="4">
        <v>61.18</v>
      </c>
      <c r="N17" s="4">
        <v>65.96</v>
      </c>
      <c r="O17" s="4">
        <v>68.22</v>
      </c>
      <c r="P17" s="4">
        <v>71.75</v>
      </c>
      <c r="Q17" s="4">
        <v>75.73</v>
      </c>
      <c r="R17" s="4">
        <v>79.26</v>
      </c>
      <c r="S17" s="4">
        <v>82.77</v>
      </c>
      <c r="T17" s="4">
        <v>86.29</v>
      </c>
      <c r="U17" s="4">
        <v>89.83</v>
      </c>
      <c r="V17" s="4">
        <v>93.8</v>
      </c>
      <c r="W17" s="4">
        <v>97.32</v>
      </c>
      <c r="X17" s="4">
        <v>100.85</v>
      </c>
      <c r="Y17" s="4"/>
      <c r="Z17" s="4"/>
      <c r="AA17" s="4"/>
      <c r="AB17" s="4"/>
      <c r="AC17" s="4"/>
      <c r="AD17" s="4"/>
      <c r="AE17" s="5"/>
      <c r="AF17" s="6"/>
      <c r="AG17" s="10">
        <v>1200</v>
      </c>
      <c r="AH17" s="4" t="str">
        <f>ROUND(29*(1+AB6)*(1+AB5)+AB7,2)</f>
        <v>0</v>
      </c>
      <c r="AI17" s="4" t="str">
        <f>ROUND(32.53*(1+AB6)*(1+AB5)+AB7,2)</f>
        <v>0</v>
      </c>
      <c r="AJ17" s="4" t="str">
        <f>ROUND(36.04*(1+AB6)*(1+AB5)+AB7,2)</f>
        <v>0</v>
      </c>
      <c r="AK17" s="4" t="str">
        <f>ROUND(39.55*(1+AB6)*(1+AB5)+AB7,2)</f>
        <v>0</v>
      </c>
      <c r="AL17" s="4" t="str">
        <f>ROUND(43.08*(1+AB6)*(1+AB5)+AB7,2)</f>
        <v>0</v>
      </c>
      <c r="AM17" s="4" t="str">
        <f>ROUND(46.62*(1+AB6)*(1+AB5)+AB7,2)</f>
        <v>0</v>
      </c>
      <c r="AN17" s="4" t="str">
        <f>ROUND(50.14*(1+AB6)*(1+AB5)+AB7,2)</f>
        <v>0</v>
      </c>
      <c r="AO17" s="4" t="str">
        <f>ROUND(53.66*(1+AB6)*(1+AB5)+AB7,2)</f>
        <v>0</v>
      </c>
      <c r="AP17" s="4" t="str">
        <f>ROUND(57.66*(1+AB6)*(1+AB5)+AB7,2)</f>
        <v>0</v>
      </c>
      <c r="AQ17" s="4" t="str">
        <f>ROUND(61.18*(1+AB6)*(1+AB5)+AB7,2)</f>
        <v>0</v>
      </c>
      <c r="AR17" s="4" t="str">
        <f>ROUND(65.96*(1+AB6)*(1+AB5)+AB7,2)</f>
        <v>0</v>
      </c>
      <c r="AS17" s="4" t="str">
        <f>ROUND(68.22*(1+AB6)*(1+AB5)+AB7,2)</f>
        <v>0</v>
      </c>
      <c r="AT17" s="4" t="str">
        <f>ROUND(71.75*(1+AB6)*(1+AB5)+AB7,2)</f>
        <v>0</v>
      </c>
      <c r="AU17" s="4" t="str">
        <f>ROUND(75.73*(1+AB6)*(1+AB5)+AB7,2)</f>
        <v>0</v>
      </c>
      <c r="AV17" s="4" t="str">
        <f>ROUND(79.26*(1+AB6)*(1+AB5)+AB7,2)</f>
        <v>0</v>
      </c>
      <c r="AW17" s="4" t="str">
        <f>ROUND(82.77*(1+AB6)*(1+AB5)+AB7,2)</f>
        <v>0</v>
      </c>
      <c r="AX17" s="4" t="str">
        <f>ROUND(86.29*(1+AB6)*(1+AB5)+AB7,2)</f>
        <v>0</v>
      </c>
      <c r="AY17" s="4" t="str">
        <f>ROUND(89.83*(1+AB6)*(1+AB5)+AB7,2)</f>
        <v>0</v>
      </c>
      <c r="AZ17" s="4" t="str">
        <f>ROUND(93.8*(1+AB6)*(1+AB5)+AB7,2)</f>
        <v>0</v>
      </c>
      <c r="BA17" s="4" t="str">
        <f>ROUND(97.32*(1+AB6)*(1+AB5)+AB7,2)</f>
        <v>0</v>
      </c>
      <c r="BB17" s="4" t="str">
        <f>ROUND(100.85*(1+AB6)*(1+AB5)+AB7,2)</f>
        <v>0</v>
      </c>
      <c r="BC17" s="4"/>
      <c r="BD17" s="4"/>
    </row>
    <row r="18" spans="1:56">
      <c r="A18" s="4"/>
      <c r="B18" s="6"/>
      <c r="C18" s="10">
        <v>1300</v>
      </c>
      <c r="D18" s="4">
        <v>29.28</v>
      </c>
      <c r="E18" s="4">
        <v>32.89</v>
      </c>
      <c r="F18" s="4">
        <v>36.5</v>
      </c>
      <c r="G18" s="4">
        <v>40.11</v>
      </c>
      <c r="H18" s="4">
        <v>43.72</v>
      </c>
      <c r="I18" s="4">
        <v>47.24</v>
      </c>
      <c r="J18" s="4">
        <v>50.93</v>
      </c>
      <c r="K18" s="4">
        <v>54.55</v>
      </c>
      <c r="L18" s="4">
        <v>58.62</v>
      </c>
      <c r="M18" s="4">
        <v>62.21</v>
      </c>
      <c r="N18" s="4">
        <v>65.82</v>
      </c>
      <c r="O18" s="4">
        <v>69.44</v>
      </c>
      <c r="P18" s="4">
        <v>73.03</v>
      </c>
      <c r="Q18" s="4">
        <v>77.1</v>
      </c>
      <c r="R18" s="4">
        <v>80.71</v>
      </c>
      <c r="S18" s="4">
        <v>84.32</v>
      </c>
      <c r="T18" s="4">
        <v>87.94</v>
      </c>
      <c r="U18" s="4">
        <v>91.54</v>
      </c>
      <c r="V18" s="4">
        <v>95.6</v>
      </c>
      <c r="W18" s="4">
        <v>99.22</v>
      </c>
      <c r="X18" s="4">
        <v>102.8</v>
      </c>
      <c r="Y18" s="4"/>
      <c r="Z18" s="4"/>
      <c r="AA18" s="4"/>
      <c r="AB18" s="4"/>
      <c r="AC18" s="4"/>
      <c r="AD18" s="4"/>
      <c r="AE18" s="5"/>
      <c r="AF18" s="6"/>
      <c r="AG18" s="10">
        <v>1300</v>
      </c>
      <c r="AH18" s="4" t="str">
        <f>ROUND(29.28*(1+AB6)*(1+AB5)+AB7,2)</f>
        <v>0</v>
      </c>
      <c r="AI18" s="4" t="str">
        <f>ROUND(32.89*(1+AB6)*(1+AB5)+AB7,2)</f>
        <v>0</v>
      </c>
      <c r="AJ18" s="4" t="str">
        <f>ROUND(36.5*(1+AB6)*(1+AB5)+AB7,2)</f>
        <v>0</v>
      </c>
      <c r="AK18" s="4" t="str">
        <f>ROUND(40.11*(1+AB6)*(1+AB5)+AB7,2)</f>
        <v>0</v>
      </c>
      <c r="AL18" s="4" t="str">
        <f>ROUND(43.72*(1+AB6)*(1+AB5)+AB7,2)</f>
        <v>0</v>
      </c>
      <c r="AM18" s="4" t="str">
        <f>ROUND(47.24*(1+AB6)*(1+AB5)+AB7,2)</f>
        <v>0</v>
      </c>
      <c r="AN18" s="4" t="str">
        <f>ROUND(50.93*(1+AB6)*(1+AB5)+AB7,2)</f>
        <v>0</v>
      </c>
      <c r="AO18" s="4" t="str">
        <f>ROUND(54.55*(1+AB6)*(1+AB5)+AB7,2)</f>
        <v>0</v>
      </c>
      <c r="AP18" s="4" t="str">
        <f>ROUND(58.62*(1+AB6)*(1+AB5)+AB7,2)</f>
        <v>0</v>
      </c>
      <c r="AQ18" s="4" t="str">
        <f>ROUND(62.21*(1+AB6)*(1+AB5)+AB7,2)</f>
        <v>0</v>
      </c>
      <c r="AR18" s="4" t="str">
        <f>ROUND(65.82*(1+AB6)*(1+AB5)+AB7,2)</f>
        <v>0</v>
      </c>
      <c r="AS18" s="4" t="str">
        <f>ROUND(69.44*(1+AB6)*(1+AB5)+AB7,2)</f>
        <v>0</v>
      </c>
      <c r="AT18" s="4" t="str">
        <f>ROUND(73.03*(1+AB6)*(1+AB5)+AB7,2)</f>
        <v>0</v>
      </c>
      <c r="AU18" s="4" t="str">
        <f>ROUND(77.1*(1+AB6)*(1+AB5)+AB7,2)</f>
        <v>0</v>
      </c>
      <c r="AV18" s="4" t="str">
        <f>ROUND(80.71*(1+AB6)*(1+AB5)+AB7,2)</f>
        <v>0</v>
      </c>
      <c r="AW18" s="4" t="str">
        <f>ROUND(84.32*(1+AB6)*(1+AB5)+AB7,2)</f>
        <v>0</v>
      </c>
      <c r="AX18" s="4" t="str">
        <f>ROUND(87.94*(1+AB6)*(1+AB5)+AB7,2)</f>
        <v>0</v>
      </c>
      <c r="AY18" s="4" t="str">
        <f>ROUND(91.54*(1+AB6)*(1+AB5)+AB7,2)</f>
        <v>0</v>
      </c>
      <c r="AZ18" s="4" t="str">
        <f>ROUND(95.6*(1+AB6)*(1+AB5)+AB7,2)</f>
        <v>0</v>
      </c>
      <c r="BA18" s="4" t="str">
        <f>ROUND(99.22*(1+AB6)*(1+AB5)+AB7,2)</f>
        <v>0</v>
      </c>
      <c r="BB18" s="4" t="str">
        <f>ROUND(102.8*(1+AB6)*(1+AB5)+AB7,2)</f>
        <v>0</v>
      </c>
      <c r="BC18" s="4"/>
      <c r="BD18" s="4"/>
    </row>
    <row r="19" spans="1:56">
      <c r="A19" s="4"/>
      <c r="B19" s="6"/>
      <c r="C19" s="10">
        <v>1400</v>
      </c>
      <c r="D19" s="4">
        <v>29.57</v>
      </c>
      <c r="E19" s="4">
        <v>33.28</v>
      </c>
      <c r="F19" s="4">
        <v>36.97</v>
      </c>
      <c r="G19" s="4">
        <v>40.66</v>
      </c>
      <c r="H19" s="4">
        <v>44.35</v>
      </c>
      <c r="I19" s="4">
        <v>48.05</v>
      </c>
      <c r="J19" s="4">
        <v>51.73</v>
      </c>
      <c r="K19" s="4">
        <v>55.43</v>
      </c>
      <c r="L19" s="4">
        <v>59.56</v>
      </c>
      <c r="M19" s="4">
        <v>63.26</v>
      </c>
      <c r="N19" s="4">
        <v>66.96</v>
      </c>
      <c r="O19" s="4">
        <v>70.65</v>
      </c>
      <c r="P19" s="4">
        <v>74.33</v>
      </c>
      <c r="Q19" s="4">
        <v>78.47</v>
      </c>
      <c r="R19" s="4">
        <v>82.16</v>
      </c>
      <c r="S19" s="4">
        <v>85.84</v>
      </c>
      <c r="T19" s="4">
        <v>89.55</v>
      </c>
      <c r="U19" s="4">
        <v>93.25</v>
      </c>
      <c r="V19" s="4">
        <v>97.38</v>
      </c>
      <c r="W19" s="4">
        <v>101.08</v>
      </c>
      <c r="X19" s="4">
        <v>104.79</v>
      </c>
      <c r="Y19" s="4"/>
      <c r="Z19" s="4"/>
      <c r="AA19" s="4"/>
      <c r="AB19" s="4"/>
      <c r="AC19" s="4"/>
      <c r="AD19" s="4"/>
      <c r="AE19" s="5"/>
      <c r="AF19" s="6"/>
      <c r="AG19" s="10">
        <v>1400</v>
      </c>
      <c r="AH19" s="4" t="str">
        <f>ROUND(29.57*(1+AB6)*(1+AB5)+AB7,2)</f>
        <v>0</v>
      </c>
      <c r="AI19" s="4" t="str">
        <f>ROUND(33.28*(1+AB6)*(1+AB5)+AB7,2)</f>
        <v>0</v>
      </c>
      <c r="AJ19" s="4" t="str">
        <f>ROUND(36.97*(1+AB6)*(1+AB5)+AB7,2)</f>
        <v>0</v>
      </c>
      <c r="AK19" s="4" t="str">
        <f>ROUND(40.66*(1+AB6)*(1+AB5)+AB7,2)</f>
        <v>0</v>
      </c>
      <c r="AL19" s="4" t="str">
        <f>ROUND(44.35*(1+AB6)*(1+AB5)+AB7,2)</f>
        <v>0</v>
      </c>
      <c r="AM19" s="4" t="str">
        <f>ROUND(48.05*(1+AB6)*(1+AB5)+AB7,2)</f>
        <v>0</v>
      </c>
      <c r="AN19" s="4" t="str">
        <f>ROUND(51.73*(1+AB6)*(1+AB5)+AB7,2)</f>
        <v>0</v>
      </c>
      <c r="AO19" s="4" t="str">
        <f>ROUND(55.43*(1+AB6)*(1+AB5)+AB7,2)</f>
        <v>0</v>
      </c>
      <c r="AP19" s="4" t="str">
        <f>ROUND(59.56*(1+AB6)*(1+AB5)+AB7,2)</f>
        <v>0</v>
      </c>
      <c r="AQ19" s="4" t="str">
        <f>ROUND(63.26*(1+AB6)*(1+AB5)+AB7,2)</f>
        <v>0</v>
      </c>
      <c r="AR19" s="4" t="str">
        <f>ROUND(66.96*(1+AB6)*(1+AB5)+AB7,2)</f>
        <v>0</v>
      </c>
      <c r="AS19" s="4" t="str">
        <f>ROUND(70.65*(1+AB6)*(1+AB5)+AB7,2)</f>
        <v>0</v>
      </c>
      <c r="AT19" s="4" t="str">
        <f>ROUND(74.33*(1+AB6)*(1+AB5)+AB7,2)</f>
        <v>0</v>
      </c>
      <c r="AU19" s="4" t="str">
        <f>ROUND(78.47*(1+AB6)*(1+AB5)+AB7,2)</f>
        <v>0</v>
      </c>
      <c r="AV19" s="4" t="str">
        <f>ROUND(82.16*(1+AB6)*(1+AB5)+AB7,2)</f>
        <v>0</v>
      </c>
      <c r="AW19" s="4" t="str">
        <f>ROUND(85.84*(1+AB6)*(1+AB5)+AB7,2)</f>
        <v>0</v>
      </c>
      <c r="AX19" s="4" t="str">
        <f>ROUND(89.55*(1+AB6)*(1+AB5)+AB7,2)</f>
        <v>0</v>
      </c>
      <c r="AY19" s="4" t="str">
        <f>ROUND(93.25*(1+AB6)*(1+AB5)+AB7,2)</f>
        <v>0</v>
      </c>
      <c r="AZ19" s="4" t="str">
        <f>ROUND(97.38*(1+AB6)*(1+AB5)+AB7,2)</f>
        <v>0</v>
      </c>
      <c r="BA19" s="4" t="str">
        <f>ROUND(101.08*(1+AB6)*(1+AB5)+AB7,2)</f>
        <v>0</v>
      </c>
      <c r="BB19" s="4" t="str">
        <f>ROUND(104.79*(1+AB6)*(1+AB5)+AB7,2)</f>
        <v>0</v>
      </c>
      <c r="BC19" s="4"/>
      <c r="BD19" s="4"/>
    </row>
    <row r="20" spans="1:56">
      <c r="A20" s="4"/>
      <c r="B20" s="6"/>
      <c r="C20" s="10">
        <v>1500</v>
      </c>
      <c r="D20" s="4">
        <v>29.87</v>
      </c>
      <c r="E20" s="4">
        <v>33.64</v>
      </c>
      <c r="F20" s="4">
        <v>37.43</v>
      </c>
      <c r="G20" s="4">
        <v>41.2</v>
      </c>
      <c r="H20" s="4">
        <v>44.97</v>
      </c>
      <c r="I20" s="4">
        <v>48.75</v>
      </c>
      <c r="J20" s="4">
        <v>52.52</v>
      </c>
      <c r="K20" s="4">
        <v>56.32</v>
      </c>
      <c r="L20" s="4">
        <v>60.52</v>
      </c>
      <c r="M20" s="4">
        <v>64.3</v>
      </c>
      <c r="N20" s="4">
        <v>68.09</v>
      </c>
      <c r="O20" s="4">
        <v>71.84</v>
      </c>
      <c r="P20" s="4">
        <v>75.63</v>
      </c>
      <c r="Q20" s="4">
        <v>79.84</v>
      </c>
      <c r="R20" s="4">
        <v>83.64</v>
      </c>
      <c r="S20" s="4">
        <v>87.41</v>
      </c>
      <c r="T20" s="4">
        <v>91.19</v>
      </c>
      <c r="U20" s="4">
        <v>94.97</v>
      </c>
      <c r="V20" s="4">
        <v>99.2</v>
      </c>
      <c r="W20" s="4">
        <v>102.97</v>
      </c>
      <c r="X20" s="4">
        <v>106.75</v>
      </c>
      <c r="Y20" s="4"/>
      <c r="Z20" s="4"/>
      <c r="AA20" s="4"/>
      <c r="AB20" s="4"/>
      <c r="AC20" s="4"/>
      <c r="AD20" s="4"/>
      <c r="AE20" s="5"/>
      <c r="AF20" s="6"/>
      <c r="AG20" s="10">
        <v>1500</v>
      </c>
      <c r="AH20" s="4" t="str">
        <f>ROUND(29.87*(1+AB6)*(1+AB5)+AB7,2)</f>
        <v>0</v>
      </c>
      <c r="AI20" s="4" t="str">
        <f>ROUND(33.64*(1+AB6)*(1+AB5)+AB7,2)</f>
        <v>0</v>
      </c>
      <c r="AJ20" s="4" t="str">
        <f>ROUND(37.43*(1+AB6)*(1+AB5)+AB7,2)</f>
        <v>0</v>
      </c>
      <c r="AK20" s="4" t="str">
        <f>ROUND(41.2*(1+AB6)*(1+AB5)+AB7,2)</f>
        <v>0</v>
      </c>
      <c r="AL20" s="4" t="str">
        <f>ROUND(44.97*(1+AB6)*(1+AB5)+AB7,2)</f>
        <v>0</v>
      </c>
      <c r="AM20" s="4" t="str">
        <f>ROUND(48.75*(1+AB6)*(1+AB5)+AB7,2)</f>
        <v>0</v>
      </c>
      <c r="AN20" s="4" t="str">
        <f>ROUND(52.52*(1+AB6)*(1+AB5)+AB7,2)</f>
        <v>0</v>
      </c>
      <c r="AO20" s="4" t="str">
        <f>ROUND(56.32*(1+AB6)*(1+AB5)+AB7,2)</f>
        <v>0</v>
      </c>
      <c r="AP20" s="4" t="str">
        <f>ROUND(60.52*(1+AB6)*(1+AB5)+AB7,2)</f>
        <v>0</v>
      </c>
      <c r="AQ20" s="4" t="str">
        <f>ROUND(64.3*(1+AB6)*(1+AB5)+AB7,2)</f>
        <v>0</v>
      </c>
      <c r="AR20" s="4" t="str">
        <f>ROUND(68.09*(1+AB6)*(1+AB5)+AB7,2)</f>
        <v>0</v>
      </c>
      <c r="AS20" s="4" t="str">
        <f>ROUND(71.84*(1+AB6)*(1+AB5)+AB7,2)</f>
        <v>0</v>
      </c>
      <c r="AT20" s="4" t="str">
        <f>ROUND(75.63*(1+AB6)*(1+AB5)+AB7,2)</f>
        <v>0</v>
      </c>
      <c r="AU20" s="4" t="str">
        <f>ROUND(79.84*(1+AB6)*(1+AB5)+AB7,2)</f>
        <v>0</v>
      </c>
      <c r="AV20" s="4" t="str">
        <f>ROUND(83.64*(1+AB6)*(1+AB5)+AB7,2)</f>
        <v>0</v>
      </c>
      <c r="AW20" s="4" t="str">
        <f>ROUND(87.41*(1+AB6)*(1+AB5)+AB7,2)</f>
        <v>0</v>
      </c>
      <c r="AX20" s="4" t="str">
        <f>ROUND(91.19*(1+AB6)*(1+AB5)+AB7,2)</f>
        <v>0</v>
      </c>
      <c r="AY20" s="4" t="str">
        <f>ROUND(94.97*(1+AB6)*(1+AB5)+AB7,2)</f>
        <v>0</v>
      </c>
      <c r="AZ20" s="4" t="str">
        <f>ROUND(99.2*(1+AB6)*(1+AB5)+AB7,2)</f>
        <v>0</v>
      </c>
      <c r="BA20" s="4" t="str">
        <f>ROUND(102.97*(1+AB6)*(1+AB5)+AB7,2)</f>
        <v>0</v>
      </c>
      <c r="BB20" s="4" t="str">
        <f>ROUND(106.75*(1+AB6)*(1+AB5)+AB7,2)</f>
        <v>0</v>
      </c>
      <c r="BC20" s="4"/>
      <c r="BD20" s="4"/>
    </row>
    <row r="21" spans="1:56">
      <c r="A21" s="4"/>
      <c r="B21" s="6"/>
      <c r="C21" s="10">
        <v>1600</v>
      </c>
      <c r="D21" s="4">
        <v>30.17</v>
      </c>
      <c r="E21" s="4">
        <v>34.03</v>
      </c>
      <c r="F21" s="4">
        <v>37.87</v>
      </c>
      <c r="G21" s="4">
        <v>41.73</v>
      </c>
      <c r="H21" s="4">
        <v>45.59</v>
      </c>
      <c r="I21" s="4">
        <v>49.47</v>
      </c>
      <c r="J21" s="4">
        <v>53.32</v>
      </c>
      <c r="K21" s="4">
        <v>57.17</v>
      </c>
      <c r="L21" s="4">
        <v>61.48</v>
      </c>
      <c r="M21" s="4">
        <v>65.34</v>
      </c>
      <c r="N21" s="4">
        <v>69.21</v>
      </c>
      <c r="O21" s="4">
        <v>73.07</v>
      </c>
      <c r="P21" s="4">
        <v>76.93</v>
      </c>
      <c r="Q21" s="4">
        <v>81.24</v>
      </c>
      <c r="R21" s="4">
        <v>85.08</v>
      </c>
      <c r="S21" s="4">
        <v>88.96</v>
      </c>
      <c r="T21" s="4">
        <v>92.81</v>
      </c>
      <c r="U21" s="4">
        <v>96.68</v>
      </c>
      <c r="V21" s="4">
        <v>100.98</v>
      </c>
      <c r="W21" s="4">
        <v>104.84</v>
      </c>
      <c r="X21" s="4">
        <v>108.71</v>
      </c>
      <c r="Y21" s="4"/>
      <c r="Z21" s="4"/>
      <c r="AA21" s="4"/>
      <c r="AB21" s="4"/>
      <c r="AC21" s="4"/>
      <c r="AD21" s="4"/>
      <c r="AE21" s="5"/>
      <c r="AF21" s="6"/>
      <c r="AG21" s="10">
        <v>1600</v>
      </c>
      <c r="AH21" s="4" t="str">
        <f>ROUND(30.17*(1+AB6)*(1+AB5)+AB7,2)</f>
        <v>0</v>
      </c>
      <c r="AI21" s="4" t="str">
        <f>ROUND(34.03*(1+AB6)*(1+AB5)+AB7,2)</f>
        <v>0</v>
      </c>
      <c r="AJ21" s="4" t="str">
        <f>ROUND(37.87*(1+AB6)*(1+AB5)+AB7,2)</f>
        <v>0</v>
      </c>
      <c r="AK21" s="4" t="str">
        <f>ROUND(41.73*(1+AB6)*(1+AB5)+AB7,2)</f>
        <v>0</v>
      </c>
      <c r="AL21" s="4" t="str">
        <f>ROUND(45.59*(1+AB6)*(1+AB5)+AB7,2)</f>
        <v>0</v>
      </c>
      <c r="AM21" s="4" t="str">
        <f>ROUND(49.47*(1+AB6)*(1+AB5)+AB7,2)</f>
        <v>0</v>
      </c>
      <c r="AN21" s="4" t="str">
        <f>ROUND(53.32*(1+AB6)*(1+AB5)+AB7,2)</f>
        <v>0</v>
      </c>
      <c r="AO21" s="4" t="str">
        <f>ROUND(57.17*(1+AB6)*(1+AB5)+AB7,2)</f>
        <v>0</v>
      </c>
      <c r="AP21" s="4" t="str">
        <f>ROUND(61.48*(1+AB6)*(1+AB5)+AB7,2)</f>
        <v>0</v>
      </c>
      <c r="AQ21" s="4" t="str">
        <f>ROUND(65.34*(1+AB6)*(1+AB5)+AB7,2)</f>
        <v>0</v>
      </c>
      <c r="AR21" s="4" t="str">
        <f>ROUND(69.21*(1+AB6)*(1+AB5)+AB7,2)</f>
        <v>0</v>
      </c>
      <c r="AS21" s="4" t="str">
        <f>ROUND(73.07*(1+AB6)*(1+AB5)+AB7,2)</f>
        <v>0</v>
      </c>
      <c r="AT21" s="4" t="str">
        <f>ROUND(76.93*(1+AB6)*(1+AB5)+AB7,2)</f>
        <v>0</v>
      </c>
      <c r="AU21" s="4" t="str">
        <f>ROUND(81.24*(1+AB6)*(1+AB5)+AB7,2)</f>
        <v>0</v>
      </c>
      <c r="AV21" s="4" t="str">
        <f>ROUND(85.08*(1+AB6)*(1+AB5)+AB7,2)</f>
        <v>0</v>
      </c>
      <c r="AW21" s="4" t="str">
        <f>ROUND(88.96*(1+AB6)*(1+AB5)+AB7,2)</f>
        <v>0</v>
      </c>
      <c r="AX21" s="4" t="str">
        <f>ROUND(92.81*(1+AB6)*(1+AB5)+AB7,2)</f>
        <v>0</v>
      </c>
      <c r="AY21" s="4" t="str">
        <f>ROUND(96.68*(1+AB6)*(1+AB5)+AB7,2)</f>
        <v>0</v>
      </c>
      <c r="AZ21" s="4" t="str">
        <f>ROUND(100.98*(1+AB6)*(1+AB5)+AB7,2)</f>
        <v>0</v>
      </c>
      <c r="BA21" s="4" t="str">
        <f>ROUND(104.84*(1+AB6)*(1+AB5)+AB7,2)</f>
        <v>0</v>
      </c>
      <c r="BB21" s="4" t="str">
        <f>ROUND(108.71*(1+AB6)*(1+AB5)+AB7,2)</f>
        <v>0</v>
      </c>
      <c r="BC21" s="4"/>
      <c r="BD21" s="4"/>
    </row>
    <row r="22" spans="1:56">
      <c r="A22" s="4"/>
      <c r="B22" s="6"/>
      <c r="C22" s="10">
        <v>1700</v>
      </c>
      <c r="D22" s="4">
        <v>30.46</v>
      </c>
      <c r="E22" s="4">
        <v>34.39</v>
      </c>
      <c r="F22" s="4">
        <v>38.34</v>
      </c>
      <c r="G22" s="4">
        <v>42.28</v>
      </c>
      <c r="H22" s="4">
        <v>46.24</v>
      </c>
      <c r="I22" s="4">
        <v>50.17</v>
      </c>
      <c r="J22" s="4">
        <v>54.11</v>
      </c>
      <c r="K22" s="4">
        <v>58.05</v>
      </c>
      <c r="L22" s="4">
        <v>62.46</v>
      </c>
      <c r="M22" s="4">
        <v>66.39</v>
      </c>
      <c r="N22" s="4">
        <v>70.33</v>
      </c>
      <c r="O22" s="4">
        <v>74.27</v>
      </c>
      <c r="P22" s="4">
        <v>78.23</v>
      </c>
      <c r="Q22" s="4">
        <v>82.61</v>
      </c>
      <c r="R22" s="4">
        <v>86.56</v>
      </c>
      <c r="S22" s="4">
        <v>90.5</v>
      </c>
      <c r="T22" s="4">
        <v>94.47</v>
      </c>
      <c r="U22" s="4">
        <v>98.38</v>
      </c>
      <c r="V22" s="4">
        <v>102.78</v>
      </c>
      <c r="W22" s="4">
        <v>106.72</v>
      </c>
      <c r="X22" s="4">
        <v>110.68</v>
      </c>
      <c r="Y22" s="4"/>
      <c r="Z22" s="4"/>
      <c r="AA22" s="4"/>
      <c r="AB22" s="4"/>
      <c r="AC22" s="4"/>
      <c r="AD22" s="4"/>
      <c r="AE22" s="5"/>
      <c r="AF22" s="6"/>
      <c r="AG22" s="10">
        <v>1700</v>
      </c>
      <c r="AH22" s="4" t="str">
        <f>ROUND(30.46*(1+AB6)*(1+AB5)+AB7,2)</f>
        <v>0</v>
      </c>
      <c r="AI22" s="4" t="str">
        <f>ROUND(34.39*(1+AB6)*(1+AB5)+AB7,2)</f>
        <v>0</v>
      </c>
      <c r="AJ22" s="4" t="str">
        <f>ROUND(38.34*(1+AB6)*(1+AB5)+AB7,2)</f>
        <v>0</v>
      </c>
      <c r="AK22" s="4" t="str">
        <f>ROUND(42.28*(1+AB6)*(1+AB5)+AB7,2)</f>
        <v>0</v>
      </c>
      <c r="AL22" s="4" t="str">
        <f>ROUND(46.24*(1+AB6)*(1+AB5)+AB7,2)</f>
        <v>0</v>
      </c>
      <c r="AM22" s="4" t="str">
        <f>ROUND(50.17*(1+AB6)*(1+AB5)+AB7,2)</f>
        <v>0</v>
      </c>
      <c r="AN22" s="4" t="str">
        <f>ROUND(54.11*(1+AB6)*(1+AB5)+AB7,2)</f>
        <v>0</v>
      </c>
      <c r="AO22" s="4" t="str">
        <f>ROUND(58.05*(1+AB6)*(1+AB5)+AB7,2)</f>
        <v>0</v>
      </c>
      <c r="AP22" s="4" t="str">
        <f>ROUND(62.46*(1+AB6)*(1+AB5)+AB7,2)</f>
        <v>0</v>
      </c>
      <c r="AQ22" s="4" t="str">
        <f>ROUND(66.39*(1+AB6)*(1+AB5)+AB7,2)</f>
        <v>0</v>
      </c>
      <c r="AR22" s="4" t="str">
        <f>ROUND(70.33*(1+AB6)*(1+AB5)+AB7,2)</f>
        <v>0</v>
      </c>
      <c r="AS22" s="4" t="str">
        <f>ROUND(74.27*(1+AB6)*(1+AB5)+AB7,2)</f>
        <v>0</v>
      </c>
      <c r="AT22" s="4" t="str">
        <f>ROUND(78.23*(1+AB6)*(1+AB5)+AB7,2)</f>
        <v>0</v>
      </c>
      <c r="AU22" s="4" t="str">
        <f>ROUND(82.61*(1+AB6)*(1+AB5)+AB7,2)</f>
        <v>0</v>
      </c>
      <c r="AV22" s="4" t="str">
        <f>ROUND(86.56*(1+AB6)*(1+AB5)+AB7,2)</f>
        <v>0</v>
      </c>
      <c r="AW22" s="4" t="str">
        <f>ROUND(90.5*(1+AB6)*(1+AB5)+AB7,2)</f>
        <v>0</v>
      </c>
      <c r="AX22" s="4" t="str">
        <f>ROUND(94.47*(1+AB6)*(1+AB5)+AB7,2)</f>
        <v>0</v>
      </c>
      <c r="AY22" s="4" t="str">
        <f>ROUND(98.38*(1+AB6)*(1+AB5)+AB7,2)</f>
        <v>0</v>
      </c>
      <c r="AZ22" s="4" t="str">
        <f>ROUND(102.78*(1+AB6)*(1+AB5)+AB7,2)</f>
        <v>0</v>
      </c>
      <c r="BA22" s="4" t="str">
        <f>ROUND(106.72*(1+AB6)*(1+AB5)+AB7,2)</f>
        <v>0</v>
      </c>
      <c r="BB22" s="4" t="str">
        <f>ROUND(110.68*(1+AB6)*(1+AB5)+AB7,2)</f>
        <v>0</v>
      </c>
      <c r="BC22" s="4"/>
      <c r="BD22" s="4"/>
    </row>
    <row r="23" spans="1:56">
      <c r="A23" s="4"/>
      <c r="B23" s="6"/>
      <c r="C23" s="10">
        <v>1800</v>
      </c>
      <c r="D23" s="4">
        <v>30.75</v>
      </c>
      <c r="E23" s="4">
        <v>34.77</v>
      </c>
      <c r="F23" s="4">
        <v>38.81</v>
      </c>
      <c r="G23" s="4">
        <v>42.84</v>
      </c>
      <c r="H23" s="4">
        <v>46.84</v>
      </c>
      <c r="I23" s="4">
        <v>50.88</v>
      </c>
      <c r="J23" s="4">
        <v>54.91</v>
      </c>
      <c r="K23" s="4">
        <v>58.93</v>
      </c>
      <c r="L23" s="4">
        <v>63.41</v>
      </c>
      <c r="M23" s="4">
        <v>67.44</v>
      </c>
      <c r="N23" s="4">
        <v>71.46</v>
      </c>
      <c r="O23" s="4">
        <v>75.5</v>
      </c>
      <c r="P23" s="4">
        <v>79.51</v>
      </c>
      <c r="Q23" s="4">
        <v>84</v>
      </c>
      <c r="R23" s="4">
        <v>88.02</v>
      </c>
      <c r="S23" s="4">
        <v>92.04</v>
      </c>
      <c r="T23" s="4">
        <v>96.07</v>
      </c>
      <c r="U23" s="4">
        <v>100.1</v>
      </c>
      <c r="V23" s="4">
        <v>104.57</v>
      </c>
      <c r="W23" s="4">
        <v>108.6</v>
      </c>
      <c r="X23" s="4">
        <v>112.63</v>
      </c>
      <c r="Y23" s="4"/>
      <c r="Z23" s="4"/>
      <c r="AA23" s="4"/>
      <c r="AB23" s="4"/>
      <c r="AC23" s="4"/>
      <c r="AD23" s="4"/>
      <c r="AE23" s="5"/>
      <c r="AF23" s="6"/>
      <c r="AG23" s="10">
        <v>1800</v>
      </c>
      <c r="AH23" s="4" t="str">
        <f>ROUND(30.75*(1+AB6)*(1+AB5)+AB7,2)</f>
        <v>0</v>
      </c>
      <c r="AI23" s="4" t="str">
        <f>ROUND(34.77*(1+AB6)*(1+AB5)+AB7,2)</f>
        <v>0</v>
      </c>
      <c r="AJ23" s="4" t="str">
        <f>ROUND(38.81*(1+AB6)*(1+AB5)+AB7,2)</f>
        <v>0</v>
      </c>
      <c r="AK23" s="4" t="str">
        <f>ROUND(42.84*(1+AB6)*(1+AB5)+AB7,2)</f>
        <v>0</v>
      </c>
      <c r="AL23" s="4" t="str">
        <f>ROUND(46.84*(1+AB6)*(1+AB5)+AB7,2)</f>
        <v>0</v>
      </c>
      <c r="AM23" s="4" t="str">
        <f>ROUND(50.88*(1+AB6)*(1+AB5)+AB7,2)</f>
        <v>0</v>
      </c>
      <c r="AN23" s="4" t="str">
        <f>ROUND(54.91*(1+AB6)*(1+AB5)+AB7,2)</f>
        <v>0</v>
      </c>
      <c r="AO23" s="4" t="str">
        <f>ROUND(58.93*(1+AB6)*(1+AB5)+AB7,2)</f>
        <v>0</v>
      </c>
      <c r="AP23" s="4" t="str">
        <f>ROUND(63.41*(1+AB6)*(1+AB5)+AB7,2)</f>
        <v>0</v>
      </c>
      <c r="AQ23" s="4" t="str">
        <f>ROUND(67.44*(1+AB6)*(1+AB5)+AB7,2)</f>
        <v>0</v>
      </c>
      <c r="AR23" s="4" t="str">
        <f>ROUND(71.46*(1+AB6)*(1+AB5)+AB7,2)</f>
        <v>0</v>
      </c>
      <c r="AS23" s="4" t="str">
        <f>ROUND(75.5*(1+AB6)*(1+AB5)+AB7,2)</f>
        <v>0</v>
      </c>
      <c r="AT23" s="4" t="str">
        <f>ROUND(79.51*(1+AB6)*(1+AB5)+AB7,2)</f>
        <v>0</v>
      </c>
      <c r="AU23" s="4" t="str">
        <f>ROUND(84*(1+AB6)*(1+AB5)+AB7,2)</f>
        <v>0</v>
      </c>
      <c r="AV23" s="4" t="str">
        <f>ROUND(88.02*(1+AB6)*(1+AB5)+AB7,2)</f>
        <v>0</v>
      </c>
      <c r="AW23" s="4" t="str">
        <f>ROUND(92.04*(1+AB6)*(1+AB5)+AB7,2)</f>
        <v>0</v>
      </c>
      <c r="AX23" s="4" t="str">
        <f>ROUND(96.07*(1+AB6)*(1+AB5)+AB7,2)</f>
        <v>0</v>
      </c>
      <c r="AY23" s="4" t="str">
        <f>ROUND(100.1*(1+AB6)*(1+AB5)+AB7,2)</f>
        <v>0</v>
      </c>
      <c r="AZ23" s="4" t="str">
        <f>ROUND(104.57*(1+AB6)*(1+AB5)+AB7,2)</f>
        <v>0</v>
      </c>
      <c r="BA23" s="4" t="str">
        <f>ROUND(108.6*(1+AB6)*(1+AB5)+AB7,2)</f>
        <v>0</v>
      </c>
      <c r="BB23" s="4" t="str">
        <f>ROUND(112.63*(1+AB6)*(1+AB5)+AB7,2)</f>
        <v>0</v>
      </c>
      <c r="BC23" s="4"/>
      <c r="BD23" s="4"/>
    </row>
    <row r="24" spans="1:56">
      <c r="A24" s="4"/>
      <c r="B24" s="6"/>
      <c r="C24" s="10">
        <v>1900</v>
      </c>
      <c r="D24" s="4">
        <v>31.04</v>
      </c>
      <c r="E24" s="4">
        <v>35.17</v>
      </c>
      <c r="F24" s="4">
        <v>39.27</v>
      </c>
      <c r="G24" s="4">
        <v>43.37</v>
      </c>
      <c r="H24" s="4">
        <v>47.49</v>
      </c>
      <c r="I24" s="4">
        <v>51.6</v>
      </c>
      <c r="J24" s="4">
        <v>55.71</v>
      </c>
      <c r="K24" s="4">
        <v>59.78</v>
      </c>
      <c r="L24" s="4">
        <v>64.36</v>
      </c>
      <c r="M24" s="4">
        <v>68.48</v>
      </c>
      <c r="N24" s="4">
        <v>72.59</v>
      </c>
      <c r="O24" s="4">
        <v>76.71</v>
      </c>
      <c r="P24" s="4">
        <v>80.81</v>
      </c>
      <c r="Q24" s="4">
        <v>85.37</v>
      </c>
      <c r="R24" s="4">
        <v>89.48</v>
      </c>
      <c r="S24" s="4">
        <v>93.59</v>
      </c>
      <c r="T24" s="4">
        <v>97.72</v>
      </c>
      <c r="U24" s="4">
        <v>101.8</v>
      </c>
      <c r="V24" s="4">
        <v>106.37</v>
      </c>
      <c r="W24" s="4">
        <v>110.5</v>
      </c>
      <c r="X24" s="4">
        <v>114.59</v>
      </c>
      <c r="Y24" s="4"/>
      <c r="Z24" s="4"/>
      <c r="AA24" s="4"/>
      <c r="AB24" s="4"/>
      <c r="AC24" s="4"/>
      <c r="AD24" s="4"/>
      <c r="AE24" s="5"/>
      <c r="AF24" s="6"/>
      <c r="AG24" s="10">
        <v>1900</v>
      </c>
      <c r="AH24" s="4" t="str">
        <f>ROUND(31.04*(1+AB6)*(1+AB5)+AB7,2)</f>
        <v>0</v>
      </c>
      <c r="AI24" s="4" t="str">
        <f>ROUND(35.17*(1+AB6)*(1+AB5)+AB7,2)</f>
        <v>0</v>
      </c>
      <c r="AJ24" s="4" t="str">
        <f>ROUND(39.27*(1+AB6)*(1+AB5)+AB7,2)</f>
        <v>0</v>
      </c>
      <c r="AK24" s="4" t="str">
        <f>ROUND(43.37*(1+AB6)*(1+AB5)+AB7,2)</f>
        <v>0</v>
      </c>
      <c r="AL24" s="4" t="str">
        <f>ROUND(47.49*(1+AB6)*(1+AB5)+AB7,2)</f>
        <v>0</v>
      </c>
      <c r="AM24" s="4" t="str">
        <f>ROUND(51.6*(1+AB6)*(1+AB5)+AB7,2)</f>
        <v>0</v>
      </c>
      <c r="AN24" s="4" t="str">
        <f>ROUND(55.71*(1+AB6)*(1+AB5)+AB7,2)</f>
        <v>0</v>
      </c>
      <c r="AO24" s="4" t="str">
        <f>ROUND(59.78*(1+AB6)*(1+AB5)+AB7,2)</f>
        <v>0</v>
      </c>
      <c r="AP24" s="4" t="str">
        <f>ROUND(64.36*(1+AB6)*(1+AB5)+AB7,2)</f>
        <v>0</v>
      </c>
      <c r="AQ24" s="4" t="str">
        <f>ROUND(68.48*(1+AB6)*(1+AB5)+AB7,2)</f>
        <v>0</v>
      </c>
      <c r="AR24" s="4" t="str">
        <f>ROUND(72.59*(1+AB6)*(1+AB5)+AB7,2)</f>
        <v>0</v>
      </c>
      <c r="AS24" s="4" t="str">
        <f>ROUND(76.71*(1+AB6)*(1+AB5)+AB7,2)</f>
        <v>0</v>
      </c>
      <c r="AT24" s="4" t="str">
        <f>ROUND(80.81*(1+AB6)*(1+AB5)+AB7,2)</f>
        <v>0</v>
      </c>
      <c r="AU24" s="4" t="str">
        <f>ROUND(85.37*(1+AB6)*(1+AB5)+AB7,2)</f>
        <v>0</v>
      </c>
      <c r="AV24" s="4" t="str">
        <f>ROUND(89.48*(1+AB6)*(1+AB5)+AB7,2)</f>
        <v>0</v>
      </c>
      <c r="AW24" s="4" t="str">
        <f>ROUND(93.59*(1+AB6)*(1+AB5)+AB7,2)</f>
        <v>0</v>
      </c>
      <c r="AX24" s="4" t="str">
        <f>ROUND(97.72*(1+AB6)*(1+AB5)+AB7,2)</f>
        <v>0</v>
      </c>
      <c r="AY24" s="4" t="str">
        <f>ROUND(101.8*(1+AB6)*(1+AB5)+AB7,2)</f>
        <v>0</v>
      </c>
      <c r="AZ24" s="4" t="str">
        <f>ROUND(106.37*(1+AB6)*(1+AB5)+AB7,2)</f>
        <v>0</v>
      </c>
      <c r="BA24" s="4" t="str">
        <f>ROUND(110.5*(1+AB6)*(1+AB5)+AB7,2)</f>
        <v>0</v>
      </c>
      <c r="BB24" s="4" t="str">
        <f>ROUND(114.59*(1+AB6)*(1+AB5)+AB7,2)</f>
        <v>0</v>
      </c>
      <c r="BC24" s="4"/>
      <c r="BD24" s="4"/>
    </row>
    <row r="25" spans="1:56">
      <c r="A25" s="4"/>
      <c r="B25" s="6"/>
      <c r="C25" s="10">
        <v>2000</v>
      </c>
      <c r="D25" s="4">
        <v>31.34</v>
      </c>
      <c r="E25" s="4">
        <v>35.52</v>
      </c>
      <c r="F25" s="4">
        <v>39.73</v>
      </c>
      <c r="G25" s="4">
        <v>43.92</v>
      </c>
      <c r="H25" s="4">
        <v>48.12</v>
      </c>
      <c r="I25" s="4">
        <v>52.3</v>
      </c>
      <c r="J25" s="4">
        <v>56.49</v>
      </c>
      <c r="K25" s="4">
        <v>60.7</v>
      </c>
      <c r="L25" s="4">
        <v>65.33</v>
      </c>
      <c r="M25" s="4">
        <v>69.53</v>
      </c>
      <c r="N25" s="4">
        <v>73.72</v>
      </c>
      <c r="O25" s="4">
        <v>77.93</v>
      </c>
      <c r="P25" s="4">
        <v>82.11</v>
      </c>
      <c r="Q25" s="4">
        <v>86.76</v>
      </c>
      <c r="R25" s="4">
        <v>90.94</v>
      </c>
      <c r="S25" s="4">
        <v>95.13</v>
      </c>
      <c r="T25" s="4">
        <v>99.33</v>
      </c>
      <c r="U25" s="4">
        <v>103.51</v>
      </c>
      <c r="V25" s="4">
        <v>108.18</v>
      </c>
      <c r="W25" s="4">
        <v>112.36</v>
      </c>
      <c r="X25" s="4">
        <v>116.56</v>
      </c>
      <c r="Y25" s="4"/>
      <c r="Z25" s="4"/>
      <c r="AA25" s="4"/>
      <c r="AB25" s="4"/>
      <c r="AC25" s="4"/>
      <c r="AD25" s="4"/>
      <c r="AE25" s="5"/>
      <c r="AF25" s="6"/>
      <c r="AG25" s="10">
        <v>2000</v>
      </c>
      <c r="AH25" s="4" t="str">
        <f>ROUND(31.34*(1+AB6)*(1+AB5)+AB7,2)</f>
        <v>0</v>
      </c>
      <c r="AI25" s="4" t="str">
        <f>ROUND(35.52*(1+AB6)*(1+AB5)+AB7,2)</f>
        <v>0</v>
      </c>
      <c r="AJ25" s="4" t="str">
        <f>ROUND(39.73*(1+AB6)*(1+AB5)+AB7,2)</f>
        <v>0</v>
      </c>
      <c r="AK25" s="4" t="str">
        <f>ROUND(43.92*(1+AB6)*(1+AB5)+AB7,2)</f>
        <v>0</v>
      </c>
      <c r="AL25" s="4" t="str">
        <f>ROUND(48.12*(1+AB6)*(1+AB5)+AB7,2)</f>
        <v>0</v>
      </c>
      <c r="AM25" s="4" t="str">
        <f>ROUND(52.3*(1+AB6)*(1+AB5)+AB7,2)</f>
        <v>0</v>
      </c>
      <c r="AN25" s="4" t="str">
        <f>ROUND(56.49*(1+AB6)*(1+AB5)+AB7,2)</f>
        <v>0</v>
      </c>
      <c r="AO25" s="4" t="str">
        <f>ROUND(60.7*(1+AB6)*(1+AB5)+AB7,2)</f>
        <v>0</v>
      </c>
      <c r="AP25" s="4" t="str">
        <f>ROUND(65.33*(1+AB6)*(1+AB5)+AB7,2)</f>
        <v>0</v>
      </c>
      <c r="AQ25" s="4" t="str">
        <f>ROUND(69.53*(1+AB6)*(1+AB5)+AB7,2)</f>
        <v>0</v>
      </c>
      <c r="AR25" s="4" t="str">
        <f>ROUND(73.72*(1+AB6)*(1+AB5)+AB7,2)</f>
        <v>0</v>
      </c>
      <c r="AS25" s="4" t="str">
        <f>ROUND(77.93*(1+AB6)*(1+AB5)+AB7,2)</f>
        <v>0</v>
      </c>
      <c r="AT25" s="4" t="str">
        <f>ROUND(82.11*(1+AB6)*(1+AB5)+AB7,2)</f>
        <v>0</v>
      </c>
      <c r="AU25" s="4" t="str">
        <f>ROUND(86.76*(1+AB6)*(1+AB5)+AB7,2)</f>
        <v>0</v>
      </c>
      <c r="AV25" s="4" t="str">
        <f>ROUND(90.94*(1+AB6)*(1+AB5)+AB7,2)</f>
        <v>0</v>
      </c>
      <c r="AW25" s="4" t="str">
        <f>ROUND(95.13*(1+AB6)*(1+AB5)+AB7,2)</f>
        <v>0</v>
      </c>
      <c r="AX25" s="4" t="str">
        <f>ROUND(99.33*(1+AB6)*(1+AB5)+AB7,2)</f>
        <v>0</v>
      </c>
      <c r="AY25" s="4" t="str">
        <f>ROUND(103.51*(1+AB6)*(1+AB5)+AB7,2)</f>
        <v>0</v>
      </c>
      <c r="AZ25" s="4" t="str">
        <f>ROUND(108.18*(1+AB6)*(1+AB5)+AB7,2)</f>
        <v>0</v>
      </c>
      <c r="BA25" s="4" t="str">
        <f>ROUND(112.36*(1+AB6)*(1+AB5)+AB7,2)</f>
        <v>0</v>
      </c>
      <c r="BB25" s="4" t="str">
        <f>ROUND(116.56*(1+AB6)*(1+AB5)+AB7,2)</f>
        <v>0</v>
      </c>
      <c r="BC25" s="4"/>
      <c r="BD25" s="4"/>
    </row>
    <row r="26" spans="1:56">
      <c r="A26" s="4"/>
      <c r="B26" s="6"/>
      <c r="C26" s="10">
        <v>2100</v>
      </c>
      <c r="D26" s="4">
        <v>31.62</v>
      </c>
      <c r="E26" s="4">
        <v>35.91</v>
      </c>
      <c r="F26" s="4">
        <v>40.2</v>
      </c>
      <c r="G26" s="4">
        <v>44.45</v>
      </c>
      <c r="H26" s="4">
        <v>48.74</v>
      </c>
      <c r="I26" s="4">
        <v>53.01</v>
      </c>
      <c r="J26" s="4">
        <v>57.3</v>
      </c>
      <c r="K26" s="4">
        <v>61.57</v>
      </c>
      <c r="L26" s="4">
        <v>66.31</v>
      </c>
      <c r="M26" s="4">
        <v>70.56</v>
      </c>
      <c r="N26" s="4">
        <v>74.85</v>
      </c>
      <c r="O26" s="4">
        <v>79.12</v>
      </c>
      <c r="P26" s="4">
        <v>83.4</v>
      </c>
      <c r="Q26" s="4">
        <v>88.13</v>
      </c>
      <c r="R26" s="4">
        <v>92.41</v>
      </c>
      <c r="S26" s="4">
        <v>96.68</v>
      </c>
      <c r="T26" s="4">
        <v>100.95</v>
      </c>
      <c r="U26" s="4">
        <v>105.24</v>
      </c>
      <c r="V26" s="4">
        <v>109.96</v>
      </c>
      <c r="W26" s="4">
        <v>114.25</v>
      </c>
      <c r="X26" s="4">
        <v>118.53</v>
      </c>
      <c r="Y26" s="4"/>
      <c r="Z26" s="4"/>
      <c r="AA26" s="4"/>
      <c r="AB26" s="4"/>
      <c r="AC26" s="4"/>
      <c r="AD26" s="4"/>
      <c r="AE26" s="5"/>
      <c r="AF26" s="6"/>
      <c r="AG26" s="10">
        <v>2100</v>
      </c>
      <c r="AH26" s="4" t="str">
        <f>ROUND(31.62*(1+AB6)*(1+AB5)+AB7,2)</f>
        <v>0</v>
      </c>
      <c r="AI26" s="4" t="str">
        <f>ROUND(35.91*(1+AB6)*(1+AB5)+AB7,2)</f>
        <v>0</v>
      </c>
      <c r="AJ26" s="4" t="str">
        <f>ROUND(40.2*(1+AB6)*(1+AB5)+AB7,2)</f>
        <v>0</v>
      </c>
      <c r="AK26" s="4" t="str">
        <f>ROUND(44.45*(1+AB6)*(1+AB5)+AB7,2)</f>
        <v>0</v>
      </c>
      <c r="AL26" s="4" t="str">
        <f>ROUND(48.74*(1+AB6)*(1+AB5)+AB7,2)</f>
        <v>0</v>
      </c>
      <c r="AM26" s="4" t="str">
        <f>ROUND(53.01*(1+AB6)*(1+AB5)+AB7,2)</f>
        <v>0</v>
      </c>
      <c r="AN26" s="4" t="str">
        <f>ROUND(57.3*(1+AB6)*(1+AB5)+AB7,2)</f>
        <v>0</v>
      </c>
      <c r="AO26" s="4" t="str">
        <f>ROUND(61.57*(1+AB6)*(1+AB5)+AB7,2)</f>
        <v>0</v>
      </c>
      <c r="AP26" s="4" t="str">
        <f>ROUND(66.31*(1+AB6)*(1+AB5)+AB7,2)</f>
        <v>0</v>
      </c>
      <c r="AQ26" s="4" t="str">
        <f>ROUND(70.56*(1+AB6)*(1+AB5)+AB7,2)</f>
        <v>0</v>
      </c>
      <c r="AR26" s="4" t="str">
        <f>ROUND(74.85*(1+AB6)*(1+AB5)+AB7,2)</f>
        <v>0</v>
      </c>
      <c r="AS26" s="4" t="str">
        <f>ROUND(79.12*(1+AB6)*(1+AB5)+AB7,2)</f>
        <v>0</v>
      </c>
      <c r="AT26" s="4" t="str">
        <f>ROUND(83.4*(1+AB6)*(1+AB5)+AB7,2)</f>
        <v>0</v>
      </c>
      <c r="AU26" s="4" t="str">
        <f>ROUND(88.13*(1+AB6)*(1+AB5)+AB7,2)</f>
        <v>0</v>
      </c>
      <c r="AV26" s="4" t="str">
        <f>ROUND(92.41*(1+AB6)*(1+AB5)+AB7,2)</f>
        <v>0</v>
      </c>
      <c r="AW26" s="4" t="str">
        <f>ROUND(96.68*(1+AB6)*(1+AB5)+AB7,2)</f>
        <v>0</v>
      </c>
      <c r="AX26" s="4" t="str">
        <f>ROUND(100.95*(1+AB6)*(1+AB5)+AB7,2)</f>
        <v>0</v>
      </c>
      <c r="AY26" s="4" t="str">
        <f>ROUND(105.24*(1+AB6)*(1+AB5)+AB7,2)</f>
        <v>0</v>
      </c>
      <c r="AZ26" s="4" t="str">
        <f>ROUND(109.96*(1+AB6)*(1+AB5)+AB7,2)</f>
        <v>0</v>
      </c>
      <c r="BA26" s="4" t="str">
        <f>ROUND(114.25*(1+AB6)*(1+AB5)+AB7,2)</f>
        <v>0</v>
      </c>
      <c r="BB26" s="4" t="str">
        <f>ROUND(118.53*(1+AB6)*(1+AB5)+AB7,2)</f>
        <v>0</v>
      </c>
      <c r="BC26" s="4"/>
      <c r="BD26" s="4"/>
    </row>
    <row r="27" spans="1:56">
      <c r="A27" s="4"/>
      <c r="B27" s="6"/>
      <c r="C27" s="10">
        <v>2200</v>
      </c>
      <c r="D27" s="4">
        <v>31.93</v>
      </c>
      <c r="E27" s="4">
        <v>36.29</v>
      </c>
      <c r="F27" s="4">
        <v>40.64</v>
      </c>
      <c r="G27" s="4">
        <v>45.02</v>
      </c>
      <c r="H27" s="4">
        <v>49.36</v>
      </c>
      <c r="I27" s="4">
        <v>53.73</v>
      </c>
      <c r="J27" s="4">
        <v>58.18</v>
      </c>
      <c r="K27" s="4">
        <v>62.45</v>
      </c>
      <c r="L27" s="4">
        <v>67.26</v>
      </c>
      <c r="M27" s="4">
        <v>71.62</v>
      </c>
      <c r="N27" s="4">
        <v>75.97</v>
      </c>
      <c r="O27" s="4">
        <v>80.33</v>
      </c>
      <c r="P27" s="4">
        <v>84.7</v>
      </c>
      <c r="Q27" s="4">
        <v>89.51</v>
      </c>
      <c r="R27" s="4">
        <v>93.87</v>
      </c>
      <c r="S27" s="4">
        <v>98.24</v>
      </c>
      <c r="T27" s="4">
        <v>102.6</v>
      </c>
      <c r="U27" s="4">
        <v>106.97</v>
      </c>
      <c r="V27" s="4">
        <v>111.75</v>
      </c>
      <c r="W27" s="4">
        <v>116.12</v>
      </c>
      <c r="X27" s="4">
        <v>120.49</v>
      </c>
      <c r="Y27" s="4"/>
      <c r="Z27" s="4"/>
      <c r="AA27" s="4"/>
      <c r="AB27" s="4"/>
      <c r="AC27" s="4"/>
      <c r="AD27" s="4"/>
      <c r="AE27" s="5"/>
      <c r="AF27" s="6"/>
      <c r="AG27" s="10">
        <v>2200</v>
      </c>
      <c r="AH27" s="4" t="str">
        <f>ROUND(31.93*(1+AB6)*(1+AB5)+AB7,2)</f>
        <v>0</v>
      </c>
      <c r="AI27" s="4" t="str">
        <f>ROUND(36.29*(1+AB6)*(1+AB5)+AB7,2)</f>
        <v>0</v>
      </c>
      <c r="AJ27" s="4" t="str">
        <f>ROUND(40.64*(1+AB6)*(1+AB5)+AB7,2)</f>
        <v>0</v>
      </c>
      <c r="AK27" s="4" t="str">
        <f>ROUND(45.02*(1+AB6)*(1+AB5)+AB7,2)</f>
        <v>0</v>
      </c>
      <c r="AL27" s="4" t="str">
        <f>ROUND(49.36*(1+AB6)*(1+AB5)+AB7,2)</f>
        <v>0</v>
      </c>
      <c r="AM27" s="4" t="str">
        <f>ROUND(53.73*(1+AB6)*(1+AB5)+AB7,2)</f>
        <v>0</v>
      </c>
      <c r="AN27" s="4" t="str">
        <f>ROUND(58.18*(1+AB6)*(1+AB5)+AB7,2)</f>
        <v>0</v>
      </c>
      <c r="AO27" s="4" t="str">
        <f>ROUND(62.45*(1+AB6)*(1+AB5)+AB7,2)</f>
        <v>0</v>
      </c>
      <c r="AP27" s="4" t="str">
        <f>ROUND(67.26*(1+AB6)*(1+AB5)+AB7,2)</f>
        <v>0</v>
      </c>
      <c r="AQ27" s="4" t="str">
        <f>ROUND(71.62*(1+AB6)*(1+AB5)+AB7,2)</f>
        <v>0</v>
      </c>
      <c r="AR27" s="4" t="str">
        <f>ROUND(75.97*(1+AB6)*(1+AB5)+AB7,2)</f>
        <v>0</v>
      </c>
      <c r="AS27" s="4" t="str">
        <f>ROUND(80.33*(1+AB6)*(1+AB5)+AB7,2)</f>
        <v>0</v>
      </c>
      <c r="AT27" s="4" t="str">
        <f>ROUND(84.7*(1+AB6)*(1+AB5)+AB7,2)</f>
        <v>0</v>
      </c>
      <c r="AU27" s="4" t="str">
        <f>ROUND(89.51*(1+AB6)*(1+AB5)+AB7,2)</f>
        <v>0</v>
      </c>
      <c r="AV27" s="4" t="str">
        <f>ROUND(93.87*(1+AB6)*(1+AB5)+AB7,2)</f>
        <v>0</v>
      </c>
      <c r="AW27" s="4" t="str">
        <f>ROUND(98.24*(1+AB6)*(1+AB5)+AB7,2)</f>
        <v>0</v>
      </c>
      <c r="AX27" s="4" t="str">
        <f>ROUND(102.6*(1+AB6)*(1+AB5)+AB7,2)</f>
        <v>0</v>
      </c>
      <c r="AY27" s="4" t="str">
        <f>ROUND(106.97*(1+AB6)*(1+AB5)+AB7,2)</f>
        <v>0</v>
      </c>
      <c r="AZ27" s="4" t="str">
        <f>ROUND(111.75*(1+AB6)*(1+AB5)+AB7,2)</f>
        <v>0</v>
      </c>
      <c r="BA27" s="4" t="str">
        <f>ROUND(116.12*(1+AB6)*(1+AB5)+AB7,2)</f>
        <v>0</v>
      </c>
      <c r="BB27" s="4" t="str">
        <f>ROUND(120.49*(1+AB6)*(1+AB5)+AB7,2)</f>
        <v>0</v>
      </c>
      <c r="BC27" s="4"/>
      <c r="BD27" s="4"/>
    </row>
    <row r="28" spans="1:56">
      <c r="A28" s="4"/>
      <c r="B28" s="6"/>
      <c r="C28" s="10">
        <v>2300</v>
      </c>
      <c r="D28" s="4">
        <v>32.23</v>
      </c>
      <c r="E28" s="4">
        <v>36.68</v>
      </c>
      <c r="F28" s="4">
        <v>41.11</v>
      </c>
      <c r="G28" s="4">
        <v>45.55</v>
      </c>
      <c r="H28" s="4">
        <v>49.99</v>
      </c>
      <c r="I28" s="4">
        <v>54.44</v>
      </c>
      <c r="J28" s="4">
        <v>58.88</v>
      </c>
      <c r="K28" s="4">
        <v>63.32</v>
      </c>
      <c r="L28" s="4">
        <v>68.22</v>
      </c>
      <c r="M28" s="4">
        <v>72.66</v>
      </c>
      <c r="N28" s="4">
        <v>76.21</v>
      </c>
      <c r="O28" s="4">
        <v>81.54</v>
      </c>
      <c r="P28" s="4">
        <v>86</v>
      </c>
      <c r="Q28" s="4">
        <v>90.88</v>
      </c>
      <c r="R28" s="4">
        <v>95.33</v>
      </c>
      <c r="S28" s="4">
        <v>99.78</v>
      </c>
      <c r="T28" s="4">
        <v>104.2</v>
      </c>
      <c r="U28" s="4">
        <v>108.67</v>
      </c>
      <c r="V28" s="4">
        <v>113.56</v>
      </c>
      <c r="W28" s="4">
        <v>117.99</v>
      </c>
      <c r="X28" s="4">
        <v>122.44</v>
      </c>
      <c r="Y28" s="4"/>
      <c r="Z28" s="4"/>
      <c r="AA28" s="4"/>
      <c r="AB28" s="4"/>
      <c r="AC28" s="4"/>
      <c r="AD28" s="4"/>
      <c r="AE28" s="5"/>
      <c r="AF28" s="6"/>
      <c r="AG28" s="10">
        <v>2300</v>
      </c>
      <c r="AH28" s="4" t="str">
        <f>ROUND(32.23*(1+AB6)*(1+AB5)+AB7,2)</f>
        <v>0</v>
      </c>
      <c r="AI28" s="4" t="str">
        <f>ROUND(36.68*(1+AB6)*(1+AB5)+AB7,2)</f>
        <v>0</v>
      </c>
      <c r="AJ28" s="4" t="str">
        <f>ROUND(41.11*(1+AB6)*(1+AB5)+AB7,2)</f>
        <v>0</v>
      </c>
      <c r="AK28" s="4" t="str">
        <f>ROUND(45.55*(1+AB6)*(1+AB5)+AB7,2)</f>
        <v>0</v>
      </c>
      <c r="AL28" s="4" t="str">
        <f>ROUND(49.99*(1+AB6)*(1+AB5)+AB7,2)</f>
        <v>0</v>
      </c>
      <c r="AM28" s="4" t="str">
        <f>ROUND(54.44*(1+AB6)*(1+AB5)+AB7,2)</f>
        <v>0</v>
      </c>
      <c r="AN28" s="4" t="str">
        <f>ROUND(58.88*(1+AB6)*(1+AB5)+AB7,2)</f>
        <v>0</v>
      </c>
      <c r="AO28" s="4" t="str">
        <f>ROUND(63.32*(1+AB6)*(1+AB5)+AB7,2)</f>
        <v>0</v>
      </c>
      <c r="AP28" s="4" t="str">
        <f>ROUND(68.22*(1+AB6)*(1+AB5)+AB7,2)</f>
        <v>0</v>
      </c>
      <c r="AQ28" s="4" t="str">
        <f>ROUND(72.66*(1+AB6)*(1+AB5)+AB7,2)</f>
        <v>0</v>
      </c>
      <c r="AR28" s="4" t="str">
        <f>ROUND(76.21*(1+AB6)*(1+AB5)+AB7,2)</f>
        <v>0</v>
      </c>
      <c r="AS28" s="4" t="str">
        <f>ROUND(81.54*(1+AB6)*(1+AB5)+AB7,2)</f>
        <v>0</v>
      </c>
      <c r="AT28" s="4" t="str">
        <f>ROUND(86*(1+AB6)*(1+AB5)+AB7,2)</f>
        <v>0</v>
      </c>
      <c r="AU28" s="4" t="str">
        <f>ROUND(90.88*(1+AB6)*(1+AB5)+AB7,2)</f>
        <v>0</v>
      </c>
      <c r="AV28" s="4" t="str">
        <f>ROUND(95.33*(1+AB6)*(1+AB5)+AB7,2)</f>
        <v>0</v>
      </c>
      <c r="AW28" s="4" t="str">
        <f>ROUND(99.78*(1+AB6)*(1+AB5)+AB7,2)</f>
        <v>0</v>
      </c>
      <c r="AX28" s="4" t="str">
        <f>ROUND(104.2*(1+AB6)*(1+AB5)+AB7,2)</f>
        <v>0</v>
      </c>
      <c r="AY28" s="4" t="str">
        <f>ROUND(108.67*(1+AB6)*(1+AB5)+AB7,2)</f>
        <v>0</v>
      </c>
      <c r="AZ28" s="4" t="str">
        <f>ROUND(113.56*(1+AB6)*(1+AB5)+AB7,2)</f>
        <v>0</v>
      </c>
      <c r="BA28" s="4" t="str">
        <f>ROUND(117.99*(1+AB6)*(1+AB5)+AB7,2)</f>
        <v>0</v>
      </c>
      <c r="BB28" s="4" t="str">
        <f>ROUND(122.44*(1+AB6)*(1+AB5)+AB7,2)</f>
        <v>0</v>
      </c>
      <c r="BC28" s="4"/>
      <c r="BD28" s="4"/>
    </row>
    <row r="29" spans="1:56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>
      <c r="A30" s="4"/>
      <c r="B30" s="5"/>
      <c r="C30" s="8" t="s">
        <v>17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4"/>
      <c r="Z30" s="4"/>
      <c r="AA30" s="4"/>
      <c r="AB30" s="4"/>
      <c r="AC30" s="4"/>
      <c r="AD30" s="4"/>
      <c r="AE30" s="5"/>
      <c r="AF30" s="5"/>
      <c r="AG30" s="8" t="s">
        <v>17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4"/>
      <c r="BD30" s="4"/>
    </row>
    <row r="31" spans="1:56">
      <c r="A31" s="4"/>
      <c r="B31" s="5"/>
      <c r="C31" s="8" t="s">
        <v>18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4"/>
      <c r="Z31" s="4"/>
      <c r="AA31" s="4"/>
      <c r="AB31" s="4"/>
      <c r="AC31" s="4"/>
      <c r="AD31" s="4"/>
      <c r="AE31" s="5"/>
      <c r="AF31" s="5"/>
      <c r="AG31" s="8" t="s">
        <v>18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4"/>
      <c r="BD31" s="4"/>
    </row>
    <row r="32" spans="1:56">
      <c r="A32" s="4"/>
      <c r="B32" s="5"/>
      <c r="C32" s="9" t="s">
        <v>14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4"/>
      <c r="Z32" s="4"/>
      <c r="AA32" s="4"/>
      <c r="AB32" s="4"/>
      <c r="AC32" s="4"/>
      <c r="AD32" s="4"/>
      <c r="AE32" s="5"/>
      <c r="AF32" s="5"/>
      <c r="AG32" s="9" t="s">
        <v>14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4"/>
      <c r="BD32" s="4"/>
    </row>
    <row r="33" spans="1:56">
      <c r="A33" s="4"/>
      <c r="B33" s="6"/>
      <c r="C33" s="10" t="s">
        <v>15</v>
      </c>
      <c r="D33" s="10">
        <v>300</v>
      </c>
      <c r="E33" s="10">
        <v>400</v>
      </c>
      <c r="F33" s="10">
        <v>500</v>
      </c>
      <c r="G33" s="10">
        <v>600</v>
      </c>
      <c r="H33" s="10">
        <v>700</v>
      </c>
      <c r="I33" s="10">
        <v>800</v>
      </c>
      <c r="J33" s="10">
        <v>900</v>
      </c>
      <c r="K33" s="10">
        <v>1000</v>
      </c>
      <c r="L33" s="10">
        <v>1100</v>
      </c>
      <c r="M33" s="10">
        <v>1200</v>
      </c>
      <c r="N33" s="10">
        <v>1300</v>
      </c>
      <c r="O33" s="10">
        <v>1400</v>
      </c>
      <c r="P33" s="10">
        <v>1500</v>
      </c>
      <c r="Q33" s="10">
        <v>1600</v>
      </c>
      <c r="R33" s="10">
        <v>1700</v>
      </c>
      <c r="S33" s="10">
        <v>1800</v>
      </c>
      <c r="T33" s="10">
        <v>1900</v>
      </c>
      <c r="U33" s="10">
        <v>2000</v>
      </c>
      <c r="V33" s="10">
        <v>2100</v>
      </c>
      <c r="W33" s="10">
        <v>2200</v>
      </c>
      <c r="X33" s="10">
        <v>2300</v>
      </c>
      <c r="Y33" s="4"/>
      <c r="Z33" s="4"/>
      <c r="AA33" s="4"/>
      <c r="AB33" s="4"/>
      <c r="AC33" s="4"/>
      <c r="AD33" s="4"/>
      <c r="AE33" s="5"/>
      <c r="AF33" s="6"/>
      <c r="AG33" s="10" t="s">
        <v>15</v>
      </c>
      <c r="AH33" s="10">
        <v>300</v>
      </c>
      <c r="AI33" s="10">
        <v>400</v>
      </c>
      <c r="AJ33" s="10">
        <v>500</v>
      </c>
      <c r="AK33" s="10">
        <v>600</v>
      </c>
      <c r="AL33" s="10">
        <v>700</v>
      </c>
      <c r="AM33" s="10">
        <v>800</v>
      </c>
      <c r="AN33" s="10">
        <v>900</v>
      </c>
      <c r="AO33" s="10">
        <v>1000</v>
      </c>
      <c r="AP33" s="10">
        <v>1100</v>
      </c>
      <c r="AQ33" s="10">
        <v>1200</v>
      </c>
      <c r="AR33" s="10">
        <v>1300</v>
      </c>
      <c r="AS33" s="10">
        <v>1400</v>
      </c>
      <c r="AT33" s="10">
        <v>1500</v>
      </c>
      <c r="AU33" s="10">
        <v>1600</v>
      </c>
      <c r="AV33" s="10">
        <v>1700</v>
      </c>
      <c r="AW33" s="10">
        <v>1800</v>
      </c>
      <c r="AX33" s="10">
        <v>1900</v>
      </c>
      <c r="AY33" s="10">
        <v>2000</v>
      </c>
      <c r="AZ33" s="10">
        <v>2100</v>
      </c>
      <c r="BA33" s="10">
        <v>2200</v>
      </c>
      <c r="BB33" s="10">
        <v>2300</v>
      </c>
      <c r="BC33" s="4"/>
      <c r="BD33" s="4"/>
    </row>
    <row r="34" spans="1:56">
      <c r="A34" s="4"/>
      <c r="B34" s="6" t="s">
        <v>16</v>
      </c>
      <c r="C34" s="10">
        <v>1000</v>
      </c>
      <c r="D34" s="4">
        <v>34.09</v>
      </c>
      <c r="E34" s="4">
        <v>38.1</v>
      </c>
      <c r="F34" s="4">
        <v>42.13</v>
      </c>
      <c r="G34" s="4">
        <v>46.16</v>
      </c>
      <c r="H34" s="4">
        <v>50.2</v>
      </c>
      <c r="I34" s="4">
        <v>54.25</v>
      </c>
      <c r="J34" s="4">
        <v>58.26</v>
      </c>
      <c r="K34" s="4">
        <v>62.28</v>
      </c>
      <c r="L34" s="4">
        <v>66.85</v>
      </c>
      <c r="M34" s="4">
        <v>70.89</v>
      </c>
      <c r="N34" s="4">
        <v>74.92</v>
      </c>
      <c r="O34" s="4">
        <v>78.96</v>
      </c>
      <c r="P34" s="4">
        <v>83</v>
      </c>
      <c r="Q34" s="4">
        <v>87.57</v>
      </c>
      <c r="R34" s="4">
        <v>91.6</v>
      </c>
      <c r="S34" s="4">
        <v>95.61</v>
      </c>
      <c r="T34" s="4">
        <v>99.66</v>
      </c>
      <c r="U34" s="4">
        <v>103.68</v>
      </c>
      <c r="V34" s="4">
        <v>108.26</v>
      </c>
      <c r="W34" s="4">
        <v>112.28</v>
      </c>
      <c r="X34" s="4">
        <v>116.31</v>
      </c>
      <c r="Y34" s="4"/>
      <c r="Z34" s="4"/>
      <c r="AA34" s="4"/>
      <c r="AB34" s="4"/>
      <c r="AC34" s="4"/>
      <c r="AD34" s="4"/>
      <c r="AE34" s="5"/>
      <c r="AF34" s="6" t="s">
        <v>16</v>
      </c>
      <c r="AG34" s="10">
        <v>1000</v>
      </c>
      <c r="AH34" s="4" t="str">
        <f>ROUND(34.09*(1+AB6)*(1+AB5)+AB7,2)</f>
        <v>0</v>
      </c>
      <c r="AI34" s="4" t="str">
        <f>ROUND(38.1*(1+AB6)*(1+AB5)+AB7,2)</f>
        <v>0</v>
      </c>
      <c r="AJ34" s="4" t="str">
        <f>ROUND(42.13*(1+AB6)*(1+AB5)+AB7,2)</f>
        <v>0</v>
      </c>
      <c r="AK34" s="4" t="str">
        <f>ROUND(46.16*(1+AB6)*(1+AB5)+AB7,2)</f>
        <v>0</v>
      </c>
      <c r="AL34" s="4" t="str">
        <f>ROUND(50.2*(1+AB6)*(1+AB5)+AB7,2)</f>
        <v>0</v>
      </c>
      <c r="AM34" s="4" t="str">
        <f>ROUND(54.25*(1+AB6)*(1+AB5)+AB7,2)</f>
        <v>0</v>
      </c>
      <c r="AN34" s="4" t="str">
        <f>ROUND(58.26*(1+AB6)*(1+AB5)+AB7,2)</f>
        <v>0</v>
      </c>
      <c r="AO34" s="4" t="str">
        <f>ROUND(62.28*(1+AB6)*(1+AB5)+AB7,2)</f>
        <v>0</v>
      </c>
      <c r="AP34" s="4" t="str">
        <f>ROUND(66.85*(1+AB6)*(1+AB5)+AB7,2)</f>
        <v>0</v>
      </c>
      <c r="AQ34" s="4" t="str">
        <f>ROUND(70.89*(1+AB6)*(1+AB5)+AB7,2)</f>
        <v>0</v>
      </c>
      <c r="AR34" s="4" t="str">
        <f>ROUND(74.92*(1+AB6)*(1+AB5)+AB7,2)</f>
        <v>0</v>
      </c>
      <c r="AS34" s="4" t="str">
        <f>ROUND(78.96*(1+AB6)*(1+AB5)+AB7,2)</f>
        <v>0</v>
      </c>
      <c r="AT34" s="4" t="str">
        <f>ROUND(83*(1+AB6)*(1+AB5)+AB7,2)</f>
        <v>0</v>
      </c>
      <c r="AU34" s="4" t="str">
        <f>ROUND(87.57*(1+AB6)*(1+AB5)+AB7,2)</f>
        <v>0</v>
      </c>
      <c r="AV34" s="4" t="str">
        <f>ROUND(91.6*(1+AB6)*(1+AB5)+AB7,2)</f>
        <v>0</v>
      </c>
      <c r="AW34" s="4" t="str">
        <f>ROUND(95.61*(1+AB6)*(1+AB5)+AB7,2)</f>
        <v>0</v>
      </c>
      <c r="AX34" s="4" t="str">
        <f>ROUND(99.66*(1+AB6)*(1+AB5)+AB7,2)</f>
        <v>0</v>
      </c>
      <c r="AY34" s="4" t="str">
        <f>ROUND(103.68*(1+AB6)*(1+AB5)+AB7,2)</f>
        <v>0</v>
      </c>
      <c r="AZ34" s="4" t="str">
        <f>ROUND(108.26*(1+AB6)*(1+AB5)+AB7,2)</f>
        <v>0</v>
      </c>
      <c r="BA34" s="4" t="str">
        <f>ROUND(112.28*(1+AB6)*(1+AB5)+AB7,2)</f>
        <v>0</v>
      </c>
      <c r="BB34" s="4" t="str">
        <f>ROUND(116.31*(1+AB6)*(1+AB5)+AB7,2)</f>
        <v>0</v>
      </c>
      <c r="BC34" s="4"/>
      <c r="BD34" s="4"/>
    </row>
    <row r="35" spans="1:56">
      <c r="A35" s="4"/>
      <c r="B35" s="6"/>
      <c r="C35" s="10">
        <v>1100</v>
      </c>
      <c r="D35" s="4">
        <v>34.43</v>
      </c>
      <c r="E35" s="4">
        <v>38.55</v>
      </c>
      <c r="F35" s="4">
        <v>42.68</v>
      </c>
      <c r="G35" s="4">
        <v>46.81</v>
      </c>
      <c r="H35" s="4">
        <v>50.95</v>
      </c>
      <c r="I35" s="4">
        <v>55.09</v>
      </c>
      <c r="J35" s="4">
        <v>59.22</v>
      </c>
      <c r="K35" s="4">
        <v>63.33</v>
      </c>
      <c r="L35" s="4">
        <v>68.02</v>
      </c>
      <c r="M35" s="4">
        <v>72.14</v>
      </c>
      <c r="N35" s="4">
        <v>76.28</v>
      </c>
      <c r="O35" s="4">
        <v>80.42</v>
      </c>
      <c r="P35" s="4">
        <v>84.55</v>
      </c>
      <c r="Q35" s="4">
        <v>89.24</v>
      </c>
      <c r="R35" s="4">
        <v>93.35</v>
      </c>
      <c r="S35" s="4">
        <v>97.47</v>
      </c>
      <c r="T35" s="4">
        <v>101.61</v>
      </c>
      <c r="U35" s="4">
        <v>105.74</v>
      </c>
      <c r="V35" s="4">
        <v>110.41</v>
      </c>
      <c r="W35" s="4">
        <v>114.56</v>
      </c>
      <c r="X35" s="4">
        <v>118.65</v>
      </c>
      <c r="Y35" s="4"/>
      <c r="Z35" s="4"/>
      <c r="AA35" s="4"/>
      <c r="AB35" s="4"/>
      <c r="AC35" s="4"/>
      <c r="AD35" s="4"/>
      <c r="AE35" s="5"/>
      <c r="AF35" s="6"/>
      <c r="AG35" s="10">
        <v>1100</v>
      </c>
      <c r="AH35" s="4" t="str">
        <f>ROUND(34.43*(1+AB6)*(1+AB5)+AB7,2)</f>
        <v>0</v>
      </c>
      <c r="AI35" s="4" t="str">
        <f>ROUND(38.55*(1+AB6)*(1+AB5)+AB7,2)</f>
        <v>0</v>
      </c>
      <c r="AJ35" s="4" t="str">
        <f>ROUND(42.68*(1+AB6)*(1+AB5)+AB7,2)</f>
        <v>0</v>
      </c>
      <c r="AK35" s="4" t="str">
        <f>ROUND(46.81*(1+AB6)*(1+AB5)+AB7,2)</f>
        <v>0</v>
      </c>
      <c r="AL35" s="4" t="str">
        <f>ROUND(50.95*(1+AB6)*(1+AB5)+AB7,2)</f>
        <v>0</v>
      </c>
      <c r="AM35" s="4" t="str">
        <f>ROUND(55.09*(1+AB6)*(1+AB5)+AB7,2)</f>
        <v>0</v>
      </c>
      <c r="AN35" s="4" t="str">
        <f>ROUND(59.22*(1+AB6)*(1+AB5)+AB7,2)</f>
        <v>0</v>
      </c>
      <c r="AO35" s="4" t="str">
        <f>ROUND(63.33*(1+AB6)*(1+AB5)+AB7,2)</f>
        <v>0</v>
      </c>
      <c r="AP35" s="4" t="str">
        <f>ROUND(68.02*(1+AB6)*(1+AB5)+AB7,2)</f>
        <v>0</v>
      </c>
      <c r="AQ35" s="4" t="str">
        <f>ROUND(72.14*(1+AB6)*(1+AB5)+AB7,2)</f>
        <v>0</v>
      </c>
      <c r="AR35" s="4" t="str">
        <f>ROUND(76.28*(1+AB6)*(1+AB5)+AB7,2)</f>
        <v>0</v>
      </c>
      <c r="AS35" s="4" t="str">
        <f>ROUND(80.42*(1+AB6)*(1+AB5)+AB7,2)</f>
        <v>0</v>
      </c>
      <c r="AT35" s="4" t="str">
        <f>ROUND(84.55*(1+AB6)*(1+AB5)+AB7,2)</f>
        <v>0</v>
      </c>
      <c r="AU35" s="4" t="str">
        <f>ROUND(89.24*(1+AB6)*(1+AB5)+AB7,2)</f>
        <v>0</v>
      </c>
      <c r="AV35" s="4" t="str">
        <f>ROUND(93.35*(1+AB6)*(1+AB5)+AB7,2)</f>
        <v>0</v>
      </c>
      <c r="AW35" s="4" t="str">
        <f>ROUND(97.47*(1+AB6)*(1+AB5)+AB7,2)</f>
        <v>0</v>
      </c>
      <c r="AX35" s="4" t="str">
        <f>ROUND(101.61*(1+AB6)*(1+AB5)+AB7,2)</f>
        <v>0</v>
      </c>
      <c r="AY35" s="4" t="str">
        <f>ROUND(105.74*(1+AB6)*(1+AB5)+AB7,2)</f>
        <v>0</v>
      </c>
      <c r="AZ35" s="4" t="str">
        <f>ROUND(110.41*(1+AB6)*(1+AB5)+AB7,2)</f>
        <v>0</v>
      </c>
      <c r="BA35" s="4" t="str">
        <f>ROUND(114.56*(1+AB6)*(1+AB5)+AB7,2)</f>
        <v>0</v>
      </c>
      <c r="BB35" s="4" t="str">
        <f>ROUND(118.65*(1+AB6)*(1+AB5)+AB7,2)</f>
        <v>0</v>
      </c>
      <c r="BC35" s="4"/>
      <c r="BD35" s="4"/>
    </row>
    <row r="36" spans="1:56">
      <c r="A36" s="4"/>
      <c r="B36" s="6"/>
      <c r="C36" s="10">
        <v>1200</v>
      </c>
      <c r="D36" s="4">
        <v>34.78</v>
      </c>
      <c r="E36" s="4">
        <v>39.01</v>
      </c>
      <c r="F36" s="4">
        <v>43.24</v>
      </c>
      <c r="G36" s="4">
        <v>47.48</v>
      </c>
      <c r="H36" s="4">
        <v>51.69</v>
      </c>
      <c r="I36" s="4">
        <v>55.95</v>
      </c>
      <c r="J36" s="4">
        <v>60.16</v>
      </c>
      <c r="K36" s="4">
        <v>64.38</v>
      </c>
      <c r="L36" s="4">
        <v>69.19</v>
      </c>
      <c r="M36" s="4">
        <v>73.4</v>
      </c>
      <c r="N36" s="4">
        <v>79.15</v>
      </c>
      <c r="O36" s="4">
        <v>81.85</v>
      </c>
      <c r="P36" s="4">
        <v>86.09</v>
      </c>
      <c r="Q36" s="4">
        <v>90.86</v>
      </c>
      <c r="R36" s="4">
        <v>95.1</v>
      </c>
      <c r="S36" s="4">
        <v>99.33</v>
      </c>
      <c r="T36" s="4">
        <v>103.55</v>
      </c>
      <c r="U36" s="4">
        <v>107.82</v>
      </c>
      <c r="V36" s="4">
        <v>112.57</v>
      </c>
      <c r="W36" s="4">
        <v>116.79</v>
      </c>
      <c r="X36" s="4">
        <v>121.01</v>
      </c>
      <c r="Y36" s="4"/>
      <c r="Z36" s="4"/>
      <c r="AA36" s="4"/>
      <c r="AB36" s="4"/>
      <c r="AC36" s="4"/>
      <c r="AD36" s="4"/>
      <c r="AE36" s="5"/>
      <c r="AF36" s="6"/>
      <c r="AG36" s="10">
        <v>1200</v>
      </c>
      <c r="AH36" s="4" t="str">
        <f>ROUND(34.78*(1+AB6)*(1+AB5)+AB7,2)</f>
        <v>0</v>
      </c>
      <c r="AI36" s="4" t="str">
        <f>ROUND(39.01*(1+AB6)*(1+AB5)+AB7,2)</f>
        <v>0</v>
      </c>
      <c r="AJ36" s="4" t="str">
        <f>ROUND(43.24*(1+AB6)*(1+AB5)+AB7,2)</f>
        <v>0</v>
      </c>
      <c r="AK36" s="4" t="str">
        <f>ROUND(47.48*(1+AB6)*(1+AB5)+AB7,2)</f>
        <v>0</v>
      </c>
      <c r="AL36" s="4" t="str">
        <f>ROUND(51.69*(1+AB6)*(1+AB5)+AB7,2)</f>
        <v>0</v>
      </c>
      <c r="AM36" s="4" t="str">
        <f>ROUND(55.95*(1+AB6)*(1+AB5)+AB7,2)</f>
        <v>0</v>
      </c>
      <c r="AN36" s="4" t="str">
        <f>ROUND(60.16*(1+AB6)*(1+AB5)+AB7,2)</f>
        <v>0</v>
      </c>
      <c r="AO36" s="4" t="str">
        <f>ROUND(64.38*(1+AB6)*(1+AB5)+AB7,2)</f>
        <v>0</v>
      </c>
      <c r="AP36" s="4" t="str">
        <f>ROUND(69.19*(1+AB6)*(1+AB5)+AB7,2)</f>
        <v>0</v>
      </c>
      <c r="AQ36" s="4" t="str">
        <f>ROUND(73.4*(1+AB6)*(1+AB5)+AB7,2)</f>
        <v>0</v>
      </c>
      <c r="AR36" s="4" t="str">
        <f>ROUND(79.15*(1+AB6)*(1+AB5)+AB7,2)</f>
        <v>0</v>
      </c>
      <c r="AS36" s="4" t="str">
        <f>ROUND(81.85*(1+AB6)*(1+AB5)+AB7,2)</f>
        <v>0</v>
      </c>
      <c r="AT36" s="4" t="str">
        <f>ROUND(86.09*(1+AB6)*(1+AB5)+AB7,2)</f>
        <v>0</v>
      </c>
      <c r="AU36" s="4" t="str">
        <f>ROUND(90.86*(1+AB6)*(1+AB5)+AB7,2)</f>
        <v>0</v>
      </c>
      <c r="AV36" s="4" t="str">
        <f>ROUND(95.1*(1+AB6)*(1+AB5)+AB7,2)</f>
        <v>0</v>
      </c>
      <c r="AW36" s="4" t="str">
        <f>ROUND(99.33*(1+AB6)*(1+AB5)+AB7,2)</f>
        <v>0</v>
      </c>
      <c r="AX36" s="4" t="str">
        <f>ROUND(103.55*(1+AB6)*(1+AB5)+AB7,2)</f>
        <v>0</v>
      </c>
      <c r="AY36" s="4" t="str">
        <f>ROUND(107.82*(1+AB6)*(1+AB5)+AB7,2)</f>
        <v>0</v>
      </c>
      <c r="AZ36" s="4" t="str">
        <f>ROUND(112.57*(1+AB6)*(1+AB5)+AB7,2)</f>
        <v>0</v>
      </c>
      <c r="BA36" s="4" t="str">
        <f>ROUND(116.79*(1+AB6)*(1+AB5)+AB7,2)</f>
        <v>0</v>
      </c>
      <c r="BB36" s="4" t="str">
        <f>ROUND(121.01*(1+AB6)*(1+AB5)+AB7,2)</f>
        <v>0</v>
      </c>
      <c r="BC36" s="4"/>
      <c r="BD36" s="4"/>
    </row>
    <row r="37" spans="1:56">
      <c r="A37" s="4"/>
      <c r="B37" s="6"/>
      <c r="C37" s="10">
        <v>1300</v>
      </c>
      <c r="D37" s="4">
        <v>35.13</v>
      </c>
      <c r="E37" s="4">
        <v>39.47</v>
      </c>
      <c r="F37" s="4">
        <v>43.79</v>
      </c>
      <c r="G37" s="4">
        <v>48.13</v>
      </c>
      <c r="H37" s="4">
        <v>52.46</v>
      </c>
      <c r="I37" s="4">
        <v>56.69</v>
      </c>
      <c r="J37" s="4">
        <v>61.11</v>
      </c>
      <c r="K37" s="4">
        <v>65.46</v>
      </c>
      <c r="L37" s="4">
        <v>70.33</v>
      </c>
      <c r="M37" s="4">
        <v>74.65</v>
      </c>
      <c r="N37" s="4">
        <v>78.99</v>
      </c>
      <c r="O37" s="4">
        <v>83.32</v>
      </c>
      <c r="P37" s="4">
        <v>87.65</v>
      </c>
      <c r="Q37" s="4">
        <v>92.53</v>
      </c>
      <c r="R37" s="4">
        <v>96.86</v>
      </c>
      <c r="S37" s="4">
        <v>101.17</v>
      </c>
      <c r="T37" s="4">
        <v>105.52</v>
      </c>
      <c r="U37" s="4">
        <v>109.85</v>
      </c>
      <c r="V37" s="4">
        <v>114.72</v>
      </c>
      <c r="W37" s="4">
        <v>119.05</v>
      </c>
      <c r="X37" s="4">
        <v>123.38</v>
      </c>
      <c r="Y37" s="4"/>
      <c r="Z37" s="4"/>
      <c r="AA37" s="4"/>
      <c r="AB37" s="4"/>
      <c r="AC37" s="4"/>
      <c r="AD37" s="4"/>
      <c r="AE37" s="5"/>
      <c r="AF37" s="6"/>
      <c r="AG37" s="10">
        <v>1300</v>
      </c>
      <c r="AH37" s="4" t="str">
        <f>ROUND(35.13*(1+AB6)*(1+AB5)+AB7,2)</f>
        <v>0</v>
      </c>
      <c r="AI37" s="4" t="str">
        <f>ROUND(39.47*(1+AB6)*(1+AB5)+AB7,2)</f>
        <v>0</v>
      </c>
      <c r="AJ37" s="4" t="str">
        <f>ROUND(43.79*(1+AB6)*(1+AB5)+AB7,2)</f>
        <v>0</v>
      </c>
      <c r="AK37" s="4" t="str">
        <f>ROUND(48.13*(1+AB6)*(1+AB5)+AB7,2)</f>
        <v>0</v>
      </c>
      <c r="AL37" s="4" t="str">
        <f>ROUND(52.46*(1+AB6)*(1+AB5)+AB7,2)</f>
        <v>0</v>
      </c>
      <c r="AM37" s="4" t="str">
        <f>ROUND(56.69*(1+AB6)*(1+AB5)+AB7,2)</f>
        <v>0</v>
      </c>
      <c r="AN37" s="4" t="str">
        <f>ROUND(61.11*(1+AB6)*(1+AB5)+AB7,2)</f>
        <v>0</v>
      </c>
      <c r="AO37" s="4" t="str">
        <f>ROUND(65.46*(1+AB6)*(1+AB5)+AB7,2)</f>
        <v>0</v>
      </c>
      <c r="AP37" s="4" t="str">
        <f>ROUND(70.33*(1+AB6)*(1+AB5)+AB7,2)</f>
        <v>0</v>
      </c>
      <c r="AQ37" s="4" t="str">
        <f>ROUND(74.65*(1+AB6)*(1+AB5)+AB7,2)</f>
        <v>0</v>
      </c>
      <c r="AR37" s="4" t="str">
        <f>ROUND(78.99*(1+AB6)*(1+AB5)+AB7,2)</f>
        <v>0</v>
      </c>
      <c r="AS37" s="4" t="str">
        <f>ROUND(83.32*(1+AB6)*(1+AB5)+AB7,2)</f>
        <v>0</v>
      </c>
      <c r="AT37" s="4" t="str">
        <f>ROUND(87.65*(1+AB6)*(1+AB5)+AB7,2)</f>
        <v>0</v>
      </c>
      <c r="AU37" s="4" t="str">
        <f>ROUND(92.53*(1+AB6)*(1+AB5)+AB7,2)</f>
        <v>0</v>
      </c>
      <c r="AV37" s="4" t="str">
        <f>ROUND(96.86*(1+AB6)*(1+AB5)+AB7,2)</f>
        <v>0</v>
      </c>
      <c r="AW37" s="4" t="str">
        <f>ROUND(101.17*(1+AB6)*(1+AB5)+AB7,2)</f>
        <v>0</v>
      </c>
      <c r="AX37" s="4" t="str">
        <f>ROUND(105.52*(1+AB6)*(1+AB5)+AB7,2)</f>
        <v>0</v>
      </c>
      <c r="AY37" s="4" t="str">
        <f>ROUND(109.85*(1+AB6)*(1+AB5)+AB7,2)</f>
        <v>0</v>
      </c>
      <c r="AZ37" s="4" t="str">
        <f>ROUND(114.72*(1+AB6)*(1+AB5)+AB7,2)</f>
        <v>0</v>
      </c>
      <c r="BA37" s="4" t="str">
        <f>ROUND(119.05*(1+AB6)*(1+AB5)+AB7,2)</f>
        <v>0</v>
      </c>
      <c r="BB37" s="4" t="str">
        <f>ROUND(123.38*(1+AB6)*(1+AB5)+AB7,2)</f>
        <v>0</v>
      </c>
      <c r="BC37" s="4"/>
      <c r="BD37" s="4"/>
    </row>
    <row r="38" spans="1:56">
      <c r="A38" s="4"/>
      <c r="B38" s="6"/>
      <c r="C38" s="10">
        <v>1400</v>
      </c>
      <c r="D38" s="4">
        <v>35.49</v>
      </c>
      <c r="E38" s="4">
        <v>39.92</v>
      </c>
      <c r="F38" s="4">
        <v>44.35</v>
      </c>
      <c r="G38" s="4">
        <v>48.8</v>
      </c>
      <c r="H38" s="4">
        <v>53.22</v>
      </c>
      <c r="I38" s="4">
        <v>57.64</v>
      </c>
      <c r="J38" s="4">
        <v>62.08</v>
      </c>
      <c r="K38" s="4">
        <v>66.51</v>
      </c>
      <c r="L38" s="4">
        <v>71.47</v>
      </c>
      <c r="M38" s="4">
        <v>75.91</v>
      </c>
      <c r="N38" s="4">
        <v>80.34</v>
      </c>
      <c r="O38" s="4">
        <v>84.77</v>
      </c>
      <c r="P38" s="4">
        <v>89.19</v>
      </c>
      <c r="Q38" s="4">
        <v>94.17</v>
      </c>
      <c r="R38" s="4">
        <v>98.59</v>
      </c>
      <c r="S38" s="4">
        <v>103.01</v>
      </c>
      <c r="T38" s="4">
        <v>107.48</v>
      </c>
      <c r="U38" s="4">
        <v>111.9</v>
      </c>
      <c r="V38" s="4">
        <v>116.86</v>
      </c>
      <c r="W38" s="4">
        <v>121.3</v>
      </c>
      <c r="X38" s="4">
        <v>125.74</v>
      </c>
      <c r="Y38" s="4"/>
      <c r="Z38" s="4"/>
      <c r="AA38" s="4"/>
      <c r="AB38" s="4"/>
      <c r="AC38" s="4"/>
      <c r="AD38" s="4"/>
      <c r="AE38" s="5"/>
      <c r="AF38" s="6"/>
      <c r="AG38" s="10">
        <v>1400</v>
      </c>
      <c r="AH38" s="4" t="str">
        <f>ROUND(35.49*(1+AB6)*(1+AB5)+AB7,2)</f>
        <v>0</v>
      </c>
      <c r="AI38" s="4" t="str">
        <f>ROUND(39.92*(1+AB6)*(1+AB5)+AB7,2)</f>
        <v>0</v>
      </c>
      <c r="AJ38" s="4" t="str">
        <f>ROUND(44.35*(1+AB6)*(1+AB5)+AB7,2)</f>
        <v>0</v>
      </c>
      <c r="AK38" s="4" t="str">
        <f>ROUND(48.8*(1+AB6)*(1+AB5)+AB7,2)</f>
        <v>0</v>
      </c>
      <c r="AL38" s="4" t="str">
        <f>ROUND(53.22*(1+AB6)*(1+AB5)+AB7,2)</f>
        <v>0</v>
      </c>
      <c r="AM38" s="4" t="str">
        <f>ROUND(57.64*(1+AB6)*(1+AB5)+AB7,2)</f>
        <v>0</v>
      </c>
      <c r="AN38" s="4" t="str">
        <f>ROUND(62.08*(1+AB6)*(1+AB5)+AB7,2)</f>
        <v>0</v>
      </c>
      <c r="AO38" s="4" t="str">
        <f>ROUND(66.51*(1+AB6)*(1+AB5)+AB7,2)</f>
        <v>0</v>
      </c>
      <c r="AP38" s="4" t="str">
        <f>ROUND(71.47*(1+AB6)*(1+AB5)+AB7,2)</f>
        <v>0</v>
      </c>
      <c r="AQ38" s="4" t="str">
        <f>ROUND(75.91*(1+AB6)*(1+AB5)+AB7,2)</f>
        <v>0</v>
      </c>
      <c r="AR38" s="4" t="str">
        <f>ROUND(80.34*(1+AB6)*(1+AB5)+AB7,2)</f>
        <v>0</v>
      </c>
      <c r="AS38" s="4" t="str">
        <f>ROUND(84.77*(1+AB6)*(1+AB5)+AB7,2)</f>
        <v>0</v>
      </c>
      <c r="AT38" s="4" t="str">
        <f>ROUND(89.19*(1+AB6)*(1+AB5)+AB7,2)</f>
        <v>0</v>
      </c>
      <c r="AU38" s="4" t="str">
        <f>ROUND(94.17*(1+AB6)*(1+AB5)+AB7,2)</f>
        <v>0</v>
      </c>
      <c r="AV38" s="4" t="str">
        <f>ROUND(98.59*(1+AB6)*(1+AB5)+AB7,2)</f>
        <v>0</v>
      </c>
      <c r="AW38" s="4" t="str">
        <f>ROUND(103.01*(1+AB6)*(1+AB5)+AB7,2)</f>
        <v>0</v>
      </c>
      <c r="AX38" s="4" t="str">
        <f>ROUND(107.48*(1+AB6)*(1+AB5)+AB7,2)</f>
        <v>0</v>
      </c>
      <c r="AY38" s="4" t="str">
        <f>ROUND(111.9*(1+AB6)*(1+AB5)+AB7,2)</f>
        <v>0</v>
      </c>
      <c r="AZ38" s="4" t="str">
        <f>ROUND(116.86*(1+AB6)*(1+AB5)+AB7,2)</f>
        <v>0</v>
      </c>
      <c r="BA38" s="4" t="str">
        <f>ROUND(121.3*(1+AB6)*(1+AB5)+AB7,2)</f>
        <v>0</v>
      </c>
      <c r="BB38" s="4" t="str">
        <f>ROUND(125.74*(1+AB6)*(1+AB5)+AB7,2)</f>
        <v>0</v>
      </c>
      <c r="BC38" s="4"/>
      <c r="BD38" s="4"/>
    </row>
    <row r="39" spans="1:56">
      <c r="A39" s="4"/>
      <c r="B39" s="6"/>
      <c r="C39" s="10">
        <v>1500</v>
      </c>
      <c r="D39" s="4">
        <v>35.85</v>
      </c>
      <c r="E39" s="4">
        <v>40.37</v>
      </c>
      <c r="F39" s="4">
        <v>44.92</v>
      </c>
      <c r="G39" s="4">
        <v>49.44</v>
      </c>
      <c r="H39" s="4">
        <v>53.96</v>
      </c>
      <c r="I39" s="4">
        <v>58.5</v>
      </c>
      <c r="J39" s="4">
        <v>63.02</v>
      </c>
      <c r="K39" s="4">
        <v>67.57</v>
      </c>
      <c r="L39" s="4">
        <v>72.62</v>
      </c>
      <c r="M39" s="4">
        <v>77.17</v>
      </c>
      <c r="N39" s="4">
        <v>81.69</v>
      </c>
      <c r="O39" s="4">
        <v>86.22</v>
      </c>
      <c r="P39" s="4">
        <v>90.76</v>
      </c>
      <c r="Q39" s="4">
        <v>95.82</v>
      </c>
      <c r="R39" s="4">
        <v>100.37</v>
      </c>
      <c r="S39" s="4">
        <v>104.88</v>
      </c>
      <c r="T39" s="4">
        <v>109.43</v>
      </c>
      <c r="U39" s="4">
        <v>113.95</v>
      </c>
      <c r="V39" s="4">
        <v>119.03</v>
      </c>
      <c r="W39" s="4">
        <v>123.56</v>
      </c>
      <c r="X39" s="4">
        <v>128.11</v>
      </c>
      <c r="Y39" s="4"/>
      <c r="Z39" s="4"/>
      <c r="AA39" s="4"/>
      <c r="AB39" s="4"/>
      <c r="AC39" s="4"/>
      <c r="AD39" s="4"/>
      <c r="AE39" s="5"/>
      <c r="AF39" s="6"/>
      <c r="AG39" s="10">
        <v>1500</v>
      </c>
      <c r="AH39" s="4" t="str">
        <f>ROUND(35.85*(1+AB6)*(1+AB5)+AB7,2)</f>
        <v>0</v>
      </c>
      <c r="AI39" s="4" t="str">
        <f>ROUND(40.37*(1+AB6)*(1+AB5)+AB7,2)</f>
        <v>0</v>
      </c>
      <c r="AJ39" s="4" t="str">
        <f>ROUND(44.92*(1+AB6)*(1+AB5)+AB7,2)</f>
        <v>0</v>
      </c>
      <c r="AK39" s="4" t="str">
        <f>ROUND(49.44*(1+AB6)*(1+AB5)+AB7,2)</f>
        <v>0</v>
      </c>
      <c r="AL39" s="4" t="str">
        <f>ROUND(53.96*(1+AB6)*(1+AB5)+AB7,2)</f>
        <v>0</v>
      </c>
      <c r="AM39" s="4" t="str">
        <f>ROUND(58.5*(1+AB6)*(1+AB5)+AB7,2)</f>
        <v>0</v>
      </c>
      <c r="AN39" s="4" t="str">
        <f>ROUND(63.02*(1+AB6)*(1+AB5)+AB7,2)</f>
        <v>0</v>
      </c>
      <c r="AO39" s="4" t="str">
        <f>ROUND(67.57*(1+AB6)*(1+AB5)+AB7,2)</f>
        <v>0</v>
      </c>
      <c r="AP39" s="4" t="str">
        <f>ROUND(72.62*(1+AB6)*(1+AB5)+AB7,2)</f>
        <v>0</v>
      </c>
      <c r="AQ39" s="4" t="str">
        <f>ROUND(77.17*(1+AB6)*(1+AB5)+AB7,2)</f>
        <v>0</v>
      </c>
      <c r="AR39" s="4" t="str">
        <f>ROUND(81.69*(1+AB6)*(1+AB5)+AB7,2)</f>
        <v>0</v>
      </c>
      <c r="AS39" s="4" t="str">
        <f>ROUND(86.22*(1+AB6)*(1+AB5)+AB7,2)</f>
        <v>0</v>
      </c>
      <c r="AT39" s="4" t="str">
        <f>ROUND(90.76*(1+AB6)*(1+AB5)+AB7,2)</f>
        <v>0</v>
      </c>
      <c r="AU39" s="4" t="str">
        <f>ROUND(95.82*(1+AB6)*(1+AB5)+AB7,2)</f>
        <v>0</v>
      </c>
      <c r="AV39" s="4" t="str">
        <f>ROUND(100.37*(1+AB6)*(1+AB5)+AB7,2)</f>
        <v>0</v>
      </c>
      <c r="AW39" s="4" t="str">
        <f>ROUND(104.88*(1+AB6)*(1+AB5)+AB7,2)</f>
        <v>0</v>
      </c>
      <c r="AX39" s="4" t="str">
        <f>ROUND(109.43*(1+AB6)*(1+AB5)+AB7,2)</f>
        <v>0</v>
      </c>
      <c r="AY39" s="4" t="str">
        <f>ROUND(113.95*(1+AB6)*(1+AB5)+AB7,2)</f>
        <v>0</v>
      </c>
      <c r="AZ39" s="4" t="str">
        <f>ROUND(119.03*(1+AB6)*(1+AB5)+AB7,2)</f>
        <v>0</v>
      </c>
      <c r="BA39" s="4" t="str">
        <f>ROUND(123.56*(1+AB6)*(1+AB5)+AB7,2)</f>
        <v>0</v>
      </c>
      <c r="BB39" s="4" t="str">
        <f>ROUND(128.11*(1+AB6)*(1+AB5)+AB7,2)</f>
        <v>0</v>
      </c>
      <c r="BC39" s="4"/>
      <c r="BD39" s="4"/>
    </row>
    <row r="40" spans="1:56">
      <c r="A40" s="4"/>
      <c r="B40" s="6"/>
      <c r="C40" s="10">
        <v>1600</v>
      </c>
      <c r="D40" s="4">
        <v>36.21</v>
      </c>
      <c r="E40" s="4">
        <v>40.83</v>
      </c>
      <c r="F40" s="4">
        <v>45.44</v>
      </c>
      <c r="G40" s="4">
        <v>50.08</v>
      </c>
      <c r="H40" s="4">
        <v>54.71</v>
      </c>
      <c r="I40" s="4">
        <v>59.36</v>
      </c>
      <c r="J40" s="4">
        <v>63.99</v>
      </c>
      <c r="K40" s="4">
        <v>68.61</v>
      </c>
      <c r="L40" s="4">
        <v>73.78</v>
      </c>
      <c r="M40" s="4">
        <v>78.4</v>
      </c>
      <c r="N40" s="4">
        <v>83.06</v>
      </c>
      <c r="O40" s="4">
        <v>87.68</v>
      </c>
      <c r="P40" s="4">
        <v>92.33</v>
      </c>
      <c r="Q40" s="4">
        <v>97.49</v>
      </c>
      <c r="R40" s="4">
        <v>102.1</v>
      </c>
      <c r="S40" s="4">
        <v>106.75</v>
      </c>
      <c r="T40" s="4">
        <v>111.38</v>
      </c>
      <c r="U40" s="4">
        <v>116.03</v>
      </c>
      <c r="V40" s="4">
        <v>121.19</v>
      </c>
      <c r="W40" s="4">
        <v>125.82</v>
      </c>
      <c r="X40" s="4">
        <v>130.46</v>
      </c>
      <c r="Y40" s="4"/>
      <c r="Z40" s="4"/>
      <c r="AA40" s="4"/>
      <c r="AB40" s="4"/>
      <c r="AC40" s="4"/>
      <c r="AD40" s="4"/>
      <c r="AE40" s="5"/>
      <c r="AF40" s="6"/>
      <c r="AG40" s="10">
        <v>1600</v>
      </c>
      <c r="AH40" s="4" t="str">
        <f>ROUND(36.21*(1+AB6)*(1+AB5)+AB7,2)</f>
        <v>0</v>
      </c>
      <c r="AI40" s="4" t="str">
        <f>ROUND(40.83*(1+AB6)*(1+AB5)+AB7,2)</f>
        <v>0</v>
      </c>
      <c r="AJ40" s="4" t="str">
        <f>ROUND(45.44*(1+AB6)*(1+AB5)+AB7,2)</f>
        <v>0</v>
      </c>
      <c r="AK40" s="4" t="str">
        <f>ROUND(50.08*(1+AB6)*(1+AB5)+AB7,2)</f>
        <v>0</v>
      </c>
      <c r="AL40" s="4" t="str">
        <f>ROUND(54.71*(1+AB6)*(1+AB5)+AB7,2)</f>
        <v>0</v>
      </c>
      <c r="AM40" s="4" t="str">
        <f>ROUND(59.36*(1+AB6)*(1+AB5)+AB7,2)</f>
        <v>0</v>
      </c>
      <c r="AN40" s="4" t="str">
        <f>ROUND(63.99*(1+AB6)*(1+AB5)+AB7,2)</f>
        <v>0</v>
      </c>
      <c r="AO40" s="4" t="str">
        <f>ROUND(68.61*(1+AB6)*(1+AB5)+AB7,2)</f>
        <v>0</v>
      </c>
      <c r="AP40" s="4" t="str">
        <f>ROUND(73.78*(1+AB6)*(1+AB5)+AB7,2)</f>
        <v>0</v>
      </c>
      <c r="AQ40" s="4" t="str">
        <f>ROUND(78.4*(1+AB6)*(1+AB5)+AB7,2)</f>
        <v>0</v>
      </c>
      <c r="AR40" s="4" t="str">
        <f>ROUND(83.06*(1+AB6)*(1+AB5)+AB7,2)</f>
        <v>0</v>
      </c>
      <c r="AS40" s="4" t="str">
        <f>ROUND(87.68*(1+AB6)*(1+AB5)+AB7,2)</f>
        <v>0</v>
      </c>
      <c r="AT40" s="4" t="str">
        <f>ROUND(92.33*(1+AB6)*(1+AB5)+AB7,2)</f>
        <v>0</v>
      </c>
      <c r="AU40" s="4" t="str">
        <f>ROUND(97.49*(1+AB6)*(1+AB5)+AB7,2)</f>
        <v>0</v>
      </c>
      <c r="AV40" s="4" t="str">
        <f>ROUND(102.1*(1+AB6)*(1+AB5)+AB7,2)</f>
        <v>0</v>
      </c>
      <c r="AW40" s="4" t="str">
        <f>ROUND(106.75*(1+AB6)*(1+AB5)+AB7,2)</f>
        <v>0</v>
      </c>
      <c r="AX40" s="4" t="str">
        <f>ROUND(111.38*(1+AB6)*(1+AB5)+AB7,2)</f>
        <v>0</v>
      </c>
      <c r="AY40" s="4" t="str">
        <f>ROUND(116.03*(1+AB6)*(1+AB5)+AB7,2)</f>
        <v>0</v>
      </c>
      <c r="AZ40" s="4" t="str">
        <f>ROUND(121.19*(1+AB6)*(1+AB5)+AB7,2)</f>
        <v>0</v>
      </c>
      <c r="BA40" s="4" t="str">
        <f>ROUND(125.82*(1+AB6)*(1+AB5)+AB7,2)</f>
        <v>0</v>
      </c>
      <c r="BB40" s="4" t="str">
        <f>ROUND(130.46*(1+AB6)*(1+AB5)+AB7,2)</f>
        <v>0</v>
      </c>
      <c r="BC40" s="4"/>
      <c r="BD40" s="4"/>
    </row>
    <row r="41" spans="1:56">
      <c r="A41" s="4"/>
      <c r="B41" s="6"/>
      <c r="C41" s="10">
        <v>1700</v>
      </c>
      <c r="D41" s="4">
        <v>36.54</v>
      </c>
      <c r="E41" s="4">
        <v>41.29</v>
      </c>
      <c r="F41" s="4">
        <v>46.01</v>
      </c>
      <c r="G41" s="4">
        <v>50.75</v>
      </c>
      <c r="H41" s="4">
        <v>55.48</v>
      </c>
      <c r="I41" s="4">
        <v>60.22</v>
      </c>
      <c r="J41" s="4">
        <v>64.94</v>
      </c>
      <c r="K41" s="4">
        <v>69.65</v>
      </c>
      <c r="L41" s="4">
        <v>74.95</v>
      </c>
      <c r="M41" s="4">
        <v>79.68</v>
      </c>
      <c r="N41" s="4">
        <v>84.4</v>
      </c>
      <c r="O41" s="4">
        <v>89.12</v>
      </c>
      <c r="P41" s="4">
        <v>93.88</v>
      </c>
      <c r="Q41" s="4">
        <v>99.13</v>
      </c>
      <c r="R41" s="4">
        <v>103.86</v>
      </c>
      <c r="S41" s="4">
        <v>108.6</v>
      </c>
      <c r="T41" s="4">
        <v>113.34</v>
      </c>
      <c r="U41" s="4">
        <v>118.07</v>
      </c>
      <c r="V41" s="4">
        <v>123.34</v>
      </c>
      <c r="W41" s="4">
        <v>128.07</v>
      </c>
      <c r="X41" s="4">
        <v>132.8</v>
      </c>
      <c r="Y41" s="4"/>
      <c r="Z41" s="4"/>
      <c r="AA41" s="4"/>
      <c r="AB41" s="4"/>
      <c r="AC41" s="4"/>
      <c r="AD41" s="4"/>
      <c r="AE41" s="5"/>
      <c r="AF41" s="6"/>
      <c r="AG41" s="10">
        <v>1700</v>
      </c>
      <c r="AH41" s="4" t="str">
        <f>ROUND(36.54*(1+AB6)*(1+AB5)+AB7,2)</f>
        <v>0</v>
      </c>
      <c r="AI41" s="4" t="str">
        <f>ROUND(41.29*(1+AB6)*(1+AB5)+AB7,2)</f>
        <v>0</v>
      </c>
      <c r="AJ41" s="4" t="str">
        <f>ROUND(46.01*(1+AB6)*(1+AB5)+AB7,2)</f>
        <v>0</v>
      </c>
      <c r="AK41" s="4" t="str">
        <f>ROUND(50.75*(1+AB6)*(1+AB5)+AB7,2)</f>
        <v>0</v>
      </c>
      <c r="AL41" s="4" t="str">
        <f>ROUND(55.48*(1+AB6)*(1+AB5)+AB7,2)</f>
        <v>0</v>
      </c>
      <c r="AM41" s="4" t="str">
        <f>ROUND(60.22*(1+AB6)*(1+AB5)+AB7,2)</f>
        <v>0</v>
      </c>
      <c r="AN41" s="4" t="str">
        <f>ROUND(64.94*(1+AB6)*(1+AB5)+AB7,2)</f>
        <v>0</v>
      </c>
      <c r="AO41" s="4" t="str">
        <f>ROUND(69.65*(1+AB6)*(1+AB5)+AB7,2)</f>
        <v>0</v>
      </c>
      <c r="AP41" s="4" t="str">
        <f>ROUND(74.95*(1+AB6)*(1+AB5)+AB7,2)</f>
        <v>0</v>
      </c>
      <c r="AQ41" s="4" t="str">
        <f>ROUND(79.68*(1+AB6)*(1+AB5)+AB7,2)</f>
        <v>0</v>
      </c>
      <c r="AR41" s="4" t="str">
        <f>ROUND(84.4*(1+AB6)*(1+AB5)+AB7,2)</f>
        <v>0</v>
      </c>
      <c r="AS41" s="4" t="str">
        <f>ROUND(89.12*(1+AB6)*(1+AB5)+AB7,2)</f>
        <v>0</v>
      </c>
      <c r="AT41" s="4" t="str">
        <f>ROUND(93.88*(1+AB6)*(1+AB5)+AB7,2)</f>
        <v>0</v>
      </c>
      <c r="AU41" s="4" t="str">
        <f>ROUND(99.13*(1+AB6)*(1+AB5)+AB7,2)</f>
        <v>0</v>
      </c>
      <c r="AV41" s="4" t="str">
        <f>ROUND(103.86*(1+AB6)*(1+AB5)+AB7,2)</f>
        <v>0</v>
      </c>
      <c r="AW41" s="4" t="str">
        <f>ROUND(108.6*(1+AB6)*(1+AB5)+AB7,2)</f>
        <v>0</v>
      </c>
      <c r="AX41" s="4" t="str">
        <f>ROUND(113.34*(1+AB6)*(1+AB5)+AB7,2)</f>
        <v>0</v>
      </c>
      <c r="AY41" s="4" t="str">
        <f>ROUND(118.07*(1+AB6)*(1+AB5)+AB7,2)</f>
        <v>0</v>
      </c>
      <c r="AZ41" s="4" t="str">
        <f>ROUND(123.34*(1+AB6)*(1+AB5)+AB7,2)</f>
        <v>0</v>
      </c>
      <c r="BA41" s="4" t="str">
        <f>ROUND(128.07*(1+AB6)*(1+AB5)+AB7,2)</f>
        <v>0</v>
      </c>
      <c r="BB41" s="4" t="str">
        <f>ROUND(132.8*(1+AB6)*(1+AB5)+AB7,2)</f>
        <v>0</v>
      </c>
      <c r="BC41" s="4"/>
      <c r="BD41" s="4"/>
    </row>
    <row r="42" spans="1:56">
      <c r="A42" s="4"/>
      <c r="B42" s="6"/>
      <c r="C42" s="10">
        <v>1800</v>
      </c>
      <c r="D42" s="4">
        <v>36.91</v>
      </c>
      <c r="E42" s="4">
        <v>41.72</v>
      </c>
      <c r="F42" s="4">
        <v>46.57</v>
      </c>
      <c r="G42" s="4">
        <v>51.4</v>
      </c>
      <c r="H42" s="4">
        <v>56.23</v>
      </c>
      <c r="I42" s="4">
        <v>61.06</v>
      </c>
      <c r="J42" s="4">
        <v>65.89</v>
      </c>
      <c r="K42" s="4">
        <v>70.73</v>
      </c>
      <c r="L42" s="4">
        <v>76.1</v>
      </c>
      <c r="M42" s="4">
        <v>80.93</v>
      </c>
      <c r="N42" s="4">
        <v>85.75</v>
      </c>
      <c r="O42" s="4">
        <v>90.59</v>
      </c>
      <c r="P42" s="4">
        <v>95.42</v>
      </c>
      <c r="Q42" s="4">
        <v>100.79</v>
      </c>
      <c r="R42" s="4">
        <v>105.63</v>
      </c>
      <c r="S42" s="4">
        <v>110.44</v>
      </c>
      <c r="T42" s="4">
        <v>115.3</v>
      </c>
      <c r="U42" s="4">
        <v>120.13</v>
      </c>
      <c r="V42" s="4">
        <v>125.48</v>
      </c>
      <c r="W42" s="4">
        <v>130.32</v>
      </c>
      <c r="X42" s="4">
        <v>135.16</v>
      </c>
      <c r="Y42" s="4"/>
      <c r="Z42" s="4"/>
      <c r="AA42" s="4"/>
      <c r="AB42" s="4"/>
      <c r="AC42" s="4"/>
      <c r="AD42" s="4"/>
      <c r="AE42" s="5"/>
      <c r="AF42" s="6"/>
      <c r="AG42" s="10">
        <v>1800</v>
      </c>
      <c r="AH42" s="4" t="str">
        <f>ROUND(36.91*(1+AB6)*(1+AB5)+AB7,2)</f>
        <v>0</v>
      </c>
      <c r="AI42" s="4" t="str">
        <f>ROUND(41.72*(1+AB6)*(1+AB5)+AB7,2)</f>
        <v>0</v>
      </c>
      <c r="AJ42" s="4" t="str">
        <f>ROUND(46.57*(1+AB6)*(1+AB5)+AB7,2)</f>
        <v>0</v>
      </c>
      <c r="AK42" s="4" t="str">
        <f>ROUND(51.4*(1+AB6)*(1+AB5)+AB7,2)</f>
        <v>0</v>
      </c>
      <c r="AL42" s="4" t="str">
        <f>ROUND(56.23*(1+AB6)*(1+AB5)+AB7,2)</f>
        <v>0</v>
      </c>
      <c r="AM42" s="4" t="str">
        <f>ROUND(61.06*(1+AB6)*(1+AB5)+AB7,2)</f>
        <v>0</v>
      </c>
      <c r="AN42" s="4" t="str">
        <f>ROUND(65.89*(1+AB6)*(1+AB5)+AB7,2)</f>
        <v>0</v>
      </c>
      <c r="AO42" s="4" t="str">
        <f>ROUND(70.73*(1+AB6)*(1+AB5)+AB7,2)</f>
        <v>0</v>
      </c>
      <c r="AP42" s="4" t="str">
        <f>ROUND(76.1*(1+AB6)*(1+AB5)+AB7,2)</f>
        <v>0</v>
      </c>
      <c r="AQ42" s="4" t="str">
        <f>ROUND(80.93*(1+AB6)*(1+AB5)+AB7,2)</f>
        <v>0</v>
      </c>
      <c r="AR42" s="4" t="str">
        <f>ROUND(85.75*(1+AB6)*(1+AB5)+AB7,2)</f>
        <v>0</v>
      </c>
      <c r="AS42" s="4" t="str">
        <f>ROUND(90.59*(1+AB6)*(1+AB5)+AB7,2)</f>
        <v>0</v>
      </c>
      <c r="AT42" s="4" t="str">
        <f>ROUND(95.42*(1+AB6)*(1+AB5)+AB7,2)</f>
        <v>0</v>
      </c>
      <c r="AU42" s="4" t="str">
        <f>ROUND(100.79*(1+AB6)*(1+AB5)+AB7,2)</f>
        <v>0</v>
      </c>
      <c r="AV42" s="4" t="str">
        <f>ROUND(105.63*(1+AB6)*(1+AB5)+AB7,2)</f>
        <v>0</v>
      </c>
      <c r="AW42" s="4" t="str">
        <f>ROUND(110.44*(1+AB6)*(1+AB5)+AB7,2)</f>
        <v>0</v>
      </c>
      <c r="AX42" s="4" t="str">
        <f>ROUND(115.3*(1+AB6)*(1+AB5)+AB7,2)</f>
        <v>0</v>
      </c>
      <c r="AY42" s="4" t="str">
        <f>ROUND(120.13*(1+AB6)*(1+AB5)+AB7,2)</f>
        <v>0</v>
      </c>
      <c r="AZ42" s="4" t="str">
        <f>ROUND(125.48*(1+AB6)*(1+AB5)+AB7,2)</f>
        <v>0</v>
      </c>
      <c r="BA42" s="4" t="str">
        <f>ROUND(130.32*(1+AB6)*(1+AB5)+AB7,2)</f>
        <v>0</v>
      </c>
      <c r="BB42" s="4" t="str">
        <f>ROUND(135.16*(1+AB6)*(1+AB5)+AB7,2)</f>
        <v>0</v>
      </c>
      <c r="BC42" s="4"/>
      <c r="BD42" s="4"/>
    </row>
    <row r="43" spans="1:56">
      <c r="A43" s="4"/>
      <c r="B43" s="6"/>
      <c r="C43" s="10">
        <v>1900</v>
      </c>
      <c r="D43" s="4">
        <v>37.25</v>
      </c>
      <c r="E43" s="4">
        <v>42.19</v>
      </c>
      <c r="F43" s="4">
        <v>47.11</v>
      </c>
      <c r="G43" s="4">
        <v>52.04</v>
      </c>
      <c r="H43" s="4">
        <v>56.99</v>
      </c>
      <c r="I43" s="4">
        <v>61.92</v>
      </c>
      <c r="J43" s="4">
        <v>66.84</v>
      </c>
      <c r="K43" s="4">
        <v>71.75</v>
      </c>
      <c r="L43" s="4">
        <v>77.25</v>
      </c>
      <c r="M43" s="4">
        <v>82.18</v>
      </c>
      <c r="N43" s="4">
        <v>87.1</v>
      </c>
      <c r="O43" s="4">
        <v>92.05</v>
      </c>
      <c r="P43" s="4">
        <v>96.97</v>
      </c>
      <c r="Q43" s="4">
        <v>102.43</v>
      </c>
      <c r="R43" s="4">
        <v>107.37</v>
      </c>
      <c r="S43" s="4">
        <v>112.31</v>
      </c>
      <c r="T43" s="4">
        <v>117.26</v>
      </c>
      <c r="U43" s="4">
        <v>122.16</v>
      </c>
      <c r="V43" s="4">
        <v>127.65</v>
      </c>
      <c r="W43" s="4">
        <v>132.59</v>
      </c>
      <c r="X43" s="4">
        <v>137.52</v>
      </c>
      <c r="Y43" s="4"/>
      <c r="Z43" s="4"/>
      <c r="AA43" s="4"/>
      <c r="AB43" s="4"/>
      <c r="AC43" s="4"/>
      <c r="AD43" s="4"/>
      <c r="AE43" s="5"/>
      <c r="AF43" s="6"/>
      <c r="AG43" s="10">
        <v>1900</v>
      </c>
      <c r="AH43" s="4" t="str">
        <f>ROUND(37.25*(1+AB6)*(1+AB5)+AB7,2)</f>
        <v>0</v>
      </c>
      <c r="AI43" s="4" t="str">
        <f>ROUND(42.19*(1+AB6)*(1+AB5)+AB7,2)</f>
        <v>0</v>
      </c>
      <c r="AJ43" s="4" t="str">
        <f>ROUND(47.11*(1+AB6)*(1+AB5)+AB7,2)</f>
        <v>0</v>
      </c>
      <c r="AK43" s="4" t="str">
        <f>ROUND(52.04*(1+AB6)*(1+AB5)+AB7,2)</f>
        <v>0</v>
      </c>
      <c r="AL43" s="4" t="str">
        <f>ROUND(56.99*(1+AB6)*(1+AB5)+AB7,2)</f>
        <v>0</v>
      </c>
      <c r="AM43" s="4" t="str">
        <f>ROUND(61.92*(1+AB6)*(1+AB5)+AB7,2)</f>
        <v>0</v>
      </c>
      <c r="AN43" s="4" t="str">
        <f>ROUND(66.84*(1+AB6)*(1+AB5)+AB7,2)</f>
        <v>0</v>
      </c>
      <c r="AO43" s="4" t="str">
        <f>ROUND(71.75*(1+AB6)*(1+AB5)+AB7,2)</f>
        <v>0</v>
      </c>
      <c r="AP43" s="4" t="str">
        <f>ROUND(77.25*(1+AB6)*(1+AB5)+AB7,2)</f>
        <v>0</v>
      </c>
      <c r="AQ43" s="4" t="str">
        <f>ROUND(82.18*(1+AB6)*(1+AB5)+AB7,2)</f>
        <v>0</v>
      </c>
      <c r="AR43" s="4" t="str">
        <f>ROUND(87.1*(1+AB6)*(1+AB5)+AB7,2)</f>
        <v>0</v>
      </c>
      <c r="AS43" s="4" t="str">
        <f>ROUND(92.05*(1+AB6)*(1+AB5)+AB7,2)</f>
        <v>0</v>
      </c>
      <c r="AT43" s="4" t="str">
        <f>ROUND(96.97*(1+AB6)*(1+AB5)+AB7,2)</f>
        <v>0</v>
      </c>
      <c r="AU43" s="4" t="str">
        <f>ROUND(102.43*(1+AB6)*(1+AB5)+AB7,2)</f>
        <v>0</v>
      </c>
      <c r="AV43" s="4" t="str">
        <f>ROUND(107.37*(1+AB6)*(1+AB5)+AB7,2)</f>
        <v>0</v>
      </c>
      <c r="AW43" s="4" t="str">
        <f>ROUND(112.31*(1+AB6)*(1+AB5)+AB7,2)</f>
        <v>0</v>
      </c>
      <c r="AX43" s="4" t="str">
        <f>ROUND(117.26*(1+AB6)*(1+AB5)+AB7,2)</f>
        <v>0</v>
      </c>
      <c r="AY43" s="4" t="str">
        <f>ROUND(122.16*(1+AB6)*(1+AB5)+AB7,2)</f>
        <v>0</v>
      </c>
      <c r="AZ43" s="4" t="str">
        <f>ROUND(127.65*(1+AB6)*(1+AB5)+AB7,2)</f>
        <v>0</v>
      </c>
      <c r="BA43" s="4" t="str">
        <f>ROUND(132.59*(1+AB6)*(1+AB5)+AB7,2)</f>
        <v>0</v>
      </c>
      <c r="BB43" s="4" t="str">
        <f>ROUND(137.52*(1+AB6)*(1+AB5)+AB7,2)</f>
        <v>0</v>
      </c>
      <c r="BC43" s="4"/>
      <c r="BD43" s="4"/>
    </row>
    <row r="44" spans="1:56">
      <c r="A44" s="4"/>
      <c r="B44" s="6"/>
      <c r="C44" s="10">
        <v>2000</v>
      </c>
      <c r="D44" s="4">
        <v>37.6</v>
      </c>
      <c r="E44" s="4">
        <v>42.63</v>
      </c>
      <c r="F44" s="4">
        <v>47.67</v>
      </c>
      <c r="G44" s="4">
        <v>52.7</v>
      </c>
      <c r="H44" s="4">
        <v>57.75</v>
      </c>
      <c r="I44" s="4">
        <v>62.78</v>
      </c>
      <c r="J44" s="4">
        <v>67.79</v>
      </c>
      <c r="K44" s="4">
        <v>72.83</v>
      </c>
      <c r="L44" s="4">
        <v>78.39</v>
      </c>
      <c r="M44" s="4">
        <v>83.43</v>
      </c>
      <c r="N44" s="4">
        <v>88.47</v>
      </c>
      <c r="O44" s="4">
        <v>93.51</v>
      </c>
      <c r="P44" s="4">
        <v>98.54</v>
      </c>
      <c r="Q44" s="4">
        <v>104.12</v>
      </c>
      <c r="R44" s="4">
        <v>109.12</v>
      </c>
      <c r="S44" s="4">
        <v>114.15</v>
      </c>
      <c r="T44" s="4">
        <v>119.2</v>
      </c>
      <c r="U44" s="4">
        <v>124.23</v>
      </c>
      <c r="V44" s="4">
        <v>129.82</v>
      </c>
      <c r="W44" s="4">
        <v>134.83</v>
      </c>
      <c r="X44" s="4">
        <v>139.87</v>
      </c>
      <c r="Y44" s="4"/>
      <c r="Z44" s="4"/>
      <c r="AA44" s="4"/>
      <c r="AB44" s="4"/>
      <c r="AC44" s="4"/>
      <c r="AD44" s="4"/>
      <c r="AE44" s="5"/>
      <c r="AF44" s="6"/>
      <c r="AG44" s="10">
        <v>2000</v>
      </c>
      <c r="AH44" s="4" t="str">
        <f>ROUND(37.6*(1+AB6)*(1+AB5)+AB7,2)</f>
        <v>0</v>
      </c>
      <c r="AI44" s="4" t="str">
        <f>ROUND(42.63*(1+AB6)*(1+AB5)+AB7,2)</f>
        <v>0</v>
      </c>
      <c r="AJ44" s="4" t="str">
        <f>ROUND(47.67*(1+AB6)*(1+AB5)+AB7,2)</f>
        <v>0</v>
      </c>
      <c r="AK44" s="4" t="str">
        <f>ROUND(52.7*(1+AB6)*(1+AB5)+AB7,2)</f>
        <v>0</v>
      </c>
      <c r="AL44" s="4" t="str">
        <f>ROUND(57.75*(1+AB6)*(1+AB5)+AB7,2)</f>
        <v>0</v>
      </c>
      <c r="AM44" s="4" t="str">
        <f>ROUND(62.78*(1+AB6)*(1+AB5)+AB7,2)</f>
        <v>0</v>
      </c>
      <c r="AN44" s="4" t="str">
        <f>ROUND(67.79*(1+AB6)*(1+AB5)+AB7,2)</f>
        <v>0</v>
      </c>
      <c r="AO44" s="4" t="str">
        <f>ROUND(72.83*(1+AB6)*(1+AB5)+AB7,2)</f>
        <v>0</v>
      </c>
      <c r="AP44" s="4" t="str">
        <f>ROUND(78.39*(1+AB6)*(1+AB5)+AB7,2)</f>
        <v>0</v>
      </c>
      <c r="AQ44" s="4" t="str">
        <f>ROUND(83.43*(1+AB6)*(1+AB5)+AB7,2)</f>
        <v>0</v>
      </c>
      <c r="AR44" s="4" t="str">
        <f>ROUND(88.47*(1+AB6)*(1+AB5)+AB7,2)</f>
        <v>0</v>
      </c>
      <c r="AS44" s="4" t="str">
        <f>ROUND(93.51*(1+AB6)*(1+AB5)+AB7,2)</f>
        <v>0</v>
      </c>
      <c r="AT44" s="4" t="str">
        <f>ROUND(98.54*(1+AB6)*(1+AB5)+AB7,2)</f>
        <v>0</v>
      </c>
      <c r="AU44" s="4" t="str">
        <f>ROUND(104.12*(1+AB6)*(1+AB5)+AB7,2)</f>
        <v>0</v>
      </c>
      <c r="AV44" s="4" t="str">
        <f>ROUND(109.12*(1+AB6)*(1+AB5)+AB7,2)</f>
        <v>0</v>
      </c>
      <c r="AW44" s="4" t="str">
        <f>ROUND(114.15*(1+AB6)*(1+AB5)+AB7,2)</f>
        <v>0</v>
      </c>
      <c r="AX44" s="4" t="str">
        <f>ROUND(119.2*(1+AB6)*(1+AB5)+AB7,2)</f>
        <v>0</v>
      </c>
      <c r="AY44" s="4" t="str">
        <f>ROUND(124.23*(1+AB6)*(1+AB5)+AB7,2)</f>
        <v>0</v>
      </c>
      <c r="AZ44" s="4" t="str">
        <f>ROUND(129.82*(1+AB6)*(1+AB5)+AB7,2)</f>
        <v>0</v>
      </c>
      <c r="BA44" s="4" t="str">
        <f>ROUND(134.83*(1+AB6)*(1+AB5)+AB7,2)</f>
        <v>0</v>
      </c>
      <c r="BB44" s="4" t="str">
        <f>ROUND(139.87*(1+AB6)*(1+AB5)+AB7,2)</f>
        <v>0</v>
      </c>
      <c r="BC44" s="4"/>
      <c r="BD44" s="4"/>
    </row>
    <row r="45" spans="1:56">
      <c r="A45" s="4"/>
      <c r="B45" s="6"/>
      <c r="C45" s="10">
        <v>2100</v>
      </c>
      <c r="D45" s="4">
        <v>37.96</v>
      </c>
      <c r="E45" s="4">
        <v>43.1</v>
      </c>
      <c r="F45" s="4">
        <v>48.24</v>
      </c>
      <c r="G45" s="4">
        <v>53.35</v>
      </c>
      <c r="H45" s="4">
        <v>58.49</v>
      </c>
      <c r="I45" s="4">
        <v>63.62</v>
      </c>
      <c r="J45" s="4">
        <v>68.75</v>
      </c>
      <c r="K45" s="4">
        <v>73.89</v>
      </c>
      <c r="L45" s="4">
        <v>79.56</v>
      </c>
      <c r="M45" s="4">
        <v>84.68</v>
      </c>
      <c r="N45" s="4">
        <v>89.81</v>
      </c>
      <c r="O45" s="4">
        <v>94.95</v>
      </c>
      <c r="P45" s="4">
        <v>100.08</v>
      </c>
      <c r="Q45" s="4">
        <v>105.77</v>
      </c>
      <c r="R45" s="4">
        <v>110.9</v>
      </c>
      <c r="S45" s="4">
        <v>116.03</v>
      </c>
      <c r="T45" s="4">
        <v>121.16</v>
      </c>
      <c r="U45" s="4">
        <v>126.28</v>
      </c>
      <c r="V45" s="4">
        <v>131.94</v>
      </c>
      <c r="W45" s="4">
        <v>137.1</v>
      </c>
      <c r="X45" s="4">
        <v>142.22</v>
      </c>
      <c r="Y45" s="4"/>
      <c r="Z45" s="4"/>
      <c r="AA45" s="4"/>
      <c r="AB45" s="4"/>
      <c r="AC45" s="4"/>
      <c r="AD45" s="4"/>
      <c r="AE45" s="5"/>
      <c r="AF45" s="6"/>
      <c r="AG45" s="10">
        <v>2100</v>
      </c>
      <c r="AH45" s="4" t="str">
        <f>ROUND(37.96*(1+AB6)*(1+AB5)+AB7,2)</f>
        <v>0</v>
      </c>
      <c r="AI45" s="4" t="str">
        <f>ROUND(43.1*(1+AB6)*(1+AB5)+AB7,2)</f>
        <v>0</v>
      </c>
      <c r="AJ45" s="4" t="str">
        <f>ROUND(48.24*(1+AB6)*(1+AB5)+AB7,2)</f>
        <v>0</v>
      </c>
      <c r="AK45" s="4" t="str">
        <f>ROUND(53.35*(1+AB6)*(1+AB5)+AB7,2)</f>
        <v>0</v>
      </c>
      <c r="AL45" s="4" t="str">
        <f>ROUND(58.49*(1+AB6)*(1+AB5)+AB7,2)</f>
        <v>0</v>
      </c>
      <c r="AM45" s="4" t="str">
        <f>ROUND(63.62*(1+AB6)*(1+AB5)+AB7,2)</f>
        <v>0</v>
      </c>
      <c r="AN45" s="4" t="str">
        <f>ROUND(68.75*(1+AB6)*(1+AB5)+AB7,2)</f>
        <v>0</v>
      </c>
      <c r="AO45" s="4" t="str">
        <f>ROUND(73.89*(1+AB6)*(1+AB5)+AB7,2)</f>
        <v>0</v>
      </c>
      <c r="AP45" s="4" t="str">
        <f>ROUND(79.56*(1+AB6)*(1+AB5)+AB7,2)</f>
        <v>0</v>
      </c>
      <c r="AQ45" s="4" t="str">
        <f>ROUND(84.68*(1+AB6)*(1+AB5)+AB7,2)</f>
        <v>0</v>
      </c>
      <c r="AR45" s="4" t="str">
        <f>ROUND(89.81*(1+AB6)*(1+AB5)+AB7,2)</f>
        <v>0</v>
      </c>
      <c r="AS45" s="4" t="str">
        <f>ROUND(94.95*(1+AB6)*(1+AB5)+AB7,2)</f>
        <v>0</v>
      </c>
      <c r="AT45" s="4" t="str">
        <f>ROUND(100.08*(1+AB6)*(1+AB5)+AB7,2)</f>
        <v>0</v>
      </c>
      <c r="AU45" s="4" t="str">
        <f>ROUND(105.77*(1+AB6)*(1+AB5)+AB7,2)</f>
        <v>0</v>
      </c>
      <c r="AV45" s="4" t="str">
        <f>ROUND(110.9*(1+AB6)*(1+AB5)+AB7,2)</f>
        <v>0</v>
      </c>
      <c r="AW45" s="4" t="str">
        <f>ROUND(116.03*(1+AB6)*(1+AB5)+AB7,2)</f>
        <v>0</v>
      </c>
      <c r="AX45" s="4" t="str">
        <f>ROUND(121.16*(1+AB6)*(1+AB5)+AB7,2)</f>
        <v>0</v>
      </c>
      <c r="AY45" s="4" t="str">
        <f>ROUND(126.28*(1+AB6)*(1+AB5)+AB7,2)</f>
        <v>0</v>
      </c>
      <c r="AZ45" s="4" t="str">
        <f>ROUND(131.94*(1+AB6)*(1+AB5)+AB7,2)</f>
        <v>0</v>
      </c>
      <c r="BA45" s="4" t="str">
        <f>ROUND(137.1*(1+AB6)*(1+AB5)+AB7,2)</f>
        <v>0</v>
      </c>
      <c r="BB45" s="4" t="str">
        <f>ROUND(142.22*(1+AB6)*(1+AB5)+AB7,2)</f>
        <v>0</v>
      </c>
      <c r="BC45" s="4"/>
      <c r="BD45" s="4"/>
    </row>
    <row r="46" spans="1:56">
      <c r="A46" s="4"/>
      <c r="B46" s="6"/>
      <c r="C46" s="10">
        <v>2200</v>
      </c>
      <c r="D46" s="4">
        <v>38.3</v>
      </c>
      <c r="E46" s="4">
        <v>43.54</v>
      </c>
      <c r="F46" s="4">
        <v>48.78</v>
      </c>
      <c r="G46" s="4">
        <v>54.01</v>
      </c>
      <c r="H46" s="4">
        <v>59.23</v>
      </c>
      <c r="I46" s="4">
        <v>64.49</v>
      </c>
      <c r="J46" s="4">
        <v>69.81</v>
      </c>
      <c r="K46" s="4">
        <v>74.92</v>
      </c>
      <c r="L46" s="4">
        <v>80.71</v>
      </c>
      <c r="M46" s="4">
        <v>85.94</v>
      </c>
      <c r="N46" s="4">
        <v>91.16</v>
      </c>
      <c r="O46" s="4">
        <v>96.38</v>
      </c>
      <c r="P46" s="4">
        <v>101.64</v>
      </c>
      <c r="Q46" s="4">
        <v>107.41</v>
      </c>
      <c r="R46" s="4">
        <v>112.64</v>
      </c>
      <c r="S46" s="4">
        <v>117.88</v>
      </c>
      <c r="T46" s="4">
        <v>123.1</v>
      </c>
      <c r="U46" s="4">
        <v>128.34</v>
      </c>
      <c r="V46" s="4">
        <v>134.1</v>
      </c>
      <c r="W46" s="4">
        <v>139.35</v>
      </c>
      <c r="X46" s="4">
        <v>144.58</v>
      </c>
      <c r="Y46" s="4"/>
      <c r="Z46" s="4"/>
      <c r="AA46" s="4"/>
      <c r="AB46" s="4"/>
      <c r="AC46" s="4"/>
      <c r="AD46" s="4"/>
      <c r="AE46" s="5"/>
      <c r="AF46" s="6"/>
      <c r="AG46" s="10">
        <v>2200</v>
      </c>
      <c r="AH46" s="4" t="str">
        <f>ROUND(38.3*(1+AB6)*(1+AB5)+AB7,2)</f>
        <v>0</v>
      </c>
      <c r="AI46" s="4" t="str">
        <f>ROUND(43.54*(1+AB6)*(1+AB5)+AB7,2)</f>
        <v>0</v>
      </c>
      <c r="AJ46" s="4" t="str">
        <f>ROUND(48.78*(1+AB6)*(1+AB5)+AB7,2)</f>
        <v>0</v>
      </c>
      <c r="AK46" s="4" t="str">
        <f>ROUND(54.01*(1+AB6)*(1+AB5)+AB7,2)</f>
        <v>0</v>
      </c>
      <c r="AL46" s="4" t="str">
        <f>ROUND(59.23*(1+AB6)*(1+AB5)+AB7,2)</f>
        <v>0</v>
      </c>
      <c r="AM46" s="4" t="str">
        <f>ROUND(64.49*(1+AB6)*(1+AB5)+AB7,2)</f>
        <v>0</v>
      </c>
      <c r="AN46" s="4" t="str">
        <f>ROUND(69.81*(1+AB6)*(1+AB5)+AB7,2)</f>
        <v>0</v>
      </c>
      <c r="AO46" s="4" t="str">
        <f>ROUND(74.92*(1+AB6)*(1+AB5)+AB7,2)</f>
        <v>0</v>
      </c>
      <c r="AP46" s="4" t="str">
        <f>ROUND(80.71*(1+AB6)*(1+AB5)+AB7,2)</f>
        <v>0</v>
      </c>
      <c r="AQ46" s="4" t="str">
        <f>ROUND(85.94*(1+AB6)*(1+AB5)+AB7,2)</f>
        <v>0</v>
      </c>
      <c r="AR46" s="4" t="str">
        <f>ROUND(91.16*(1+AB6)*(1+AB5)+AB7,2)</f>
        <v>0</v>
      </c>
      <c r="AS46" s="4" t="str">
        <f>ROUND(96.38*(1+AB6)*(1+AB5)+AB7,2)</f>
        <v>0</v>
      </c>
      <c r="AT46" s="4" t="str">
        <f>ROUND(101.64*(1+AB6)*(1+AB5)+AB7,2)</f>
        <v>0</v>
      </c>
      <c r="AU46" s="4" t="str">
        <f>ROUND(107.41*(1+AB6)*(1+AB5)+AB7,2)</f>
        <v>0</v>
      </c>
      <c r="AV46" s="4" t="str">
        <f>ROUND(112.64*(1+AB6)*(1+AB5)+AB7,2)</f>
        <v>0</v>
      </c>
      <c r="AW46" s="4" t="str">
        <f>ROUND(117.88*(1+AB6)*(1+AB5)+AB7,2)</f>
        <v>0</v>
      </c>
      <c r="AX46" s="4" t="str">
        <f>ROUND(123.1*(1+AB6)*(1+AB5)+AB7,2)</f>
        <v>0</v>
      </c>
      <c r="AY46" s="4" t="str">
        <f>ROUND(128.34*(1+AB6)*(1+AB5)+AB7,2)</f>
        <v>0</v>
      </c>
      <c r="AZ46" s="4" t="str">
        <f>ROUND(134.1*(1+AB6)*(1+AB5)+AB7,2)</f>
        <v>0</v>
      </c>
      <c r="BA46" s="4" t="str">
        <f>ROUND(139.35*(1+AB6)*(1+AB5)+AB7,2)</f>
        <v>0</v>
      </c>
      <c r="BB46" s="4" t="str">
        <f>ROUND(144.58*(1+AB6)*(1+AB5)+AB7,2)</f>
        <v>0</v>
      </c>
      <c r="BC46" s="4"/>
      <c r="BD46" s="4"/>
    </row>
    <row r="47" spans="1:56">
      <c r="A47" s="4"/>
      <c r="B47" s="6"/>
      <c r="C47" s="10">
        <v>2300</v>
      </c>
      <c r="D47" s="4">
        <v>38.66</v>
      </c>
      <c r="E47" s="4">
        <v>44.01</v>
      </c>
      <c r="F47" s="4">
        <v>49.32</v>
      </c>
      <c r="G47" s="4">
        <v>54.66</v>
      </c>
      <c r="H47" s="4">
        <v>59.99</v>
      </c>
      <c r="I47" s="4">
        <v>65.33</v>
      </c>
      <c r="J47" s="4">
        <v>70.67</v>
      </c>
      <c r="K47" s="4">
        <v>75.99</v>
      </c>
      <c r="L47" s="4">
        <v>81.85</v>
      </c>
      <c r="M47" s="4">
        <v>87.21</v>
      </c>
      <c r="N47" s="4">
        <v>91.44</v>
      </c>
      <c r="O47" s="4">
        <v>97.86</v>
      </c>
      <c r="P47" s="4">
        <v>103.19</v>
      </c>
      <c r="Q47" s="4">
        <v>109.06</v>
      </c>
      <c r="R47" s="4">
        <v>114.4</v>
      </c>
      <c r="S47" s="4">
        <v>119.74</v>
      </c>
      <c r="T47" s="4">
        <v>125.06</v>
      </c>
      <c r="U47" s="4">
        <v>130.38</v>
      </c>
      <c r="V47" s="4">
        <v>136.27</v>
      </c>
      <c r="W47" s="4">
        <v>141.6</v>
      </c>
      <c r="X47" s="4">
        <v>146.94</v>
      </c>
      <c r="Y47" s="4"/>
      <c r="Z47" s="4"/>
      <c r="AA47" s="4"/>
      <c r="AB47" s="4"/>
      <c r="AC47" s="4"/>
      <c r="AD47" s="4"/>
      <c r="AE47" s="5"/>
      <c r="AF47" s="6"/>
      <c r="AG47" s="10">
        <v>2300</v>
      </c>
      <c r="AH47" s="4" t="str">
        <f>ROUND(38.66*(1+AB6)*(1+AB5)+AB7,2)</f>
        <v>0</v>
      </c>
      <c r="AI47" s="4" t="str">
        <f>ROUND(44.01*(1+AB6)*(1+AB5)+AB7,2)</f>
        <v>0</v>
      </c>
      <c r="AJ47" s="4" t="str">
        <f>ROUND(49.32*(1+AB6)*(1+AB5)+AB7,2)</f>
        <v>0</v>
      </c>
      <c r="AK47" s="4" t="str">
        <f>ROUND(54.66*(1+AB6)*(1+AB5)+AB7,2)</f>
        <v>0</v>
      </c>
      <c r="AL47" s="4" t="str">
        <f>ROUND(59.99*(1+AB6)*(1+AB5)+AB7,2)</f>
        <v>0</v>
      </c>
      <c r="AM47" s="4" t="str">
        <f>ROUND(65.33*(1+AB6)*(1+AB5)+AB7,2)</f>
        <v>0</v>
      </c>
      <c r="AN47" s="4" t="str">
        <f>ROUND(70.67*(1+AB6)*(1+AB5)+AB7,2)</f>
        <v>0</v>
      </c>
      <c r="AO47" s="4" t="str">
        <f>ROUND(75.99*(1+AB6)*(1+AB5)+AB7,2)</f>
        <v>0</v>
      </c>
      <c r="AP47" s="4" t="str">
        <f>ROUND(81.85*(1+AB6)*(1+AB5)+AB7,2)</f>
        <v>0</v>
      </c>
      <c r="AQ47" s="4" t="str">
        <f>ROUND(87.21*(1+AB6)*(1+AB5)+AB7,2)</f>
        <v>0</v>
      </c>
      <c r="AR47" s="4" t="str">
        <f>ROUND(91.44*(1+AB6)*(1+AB5)+AB7,2)</f>
        <v>0</v>
      </c>
      <c r="AS47" s="4" t="str">
        <f>ROUND(97.86*(1+AB6)*(1+AB5)+AB7,2)</f>
        <v>0</v>
      </c>
      <c r="AT47" s="4" t="str">
        <f>ROUND(103.19*(1+AB6)*(1+AB5)+AB7,2)</f>
        <v>0</v>
      </c>
      <c r="AU47" s="4" t="str">
        <f>ROUND(109.06*(1+AB6)*(1+AB5)+AB7,2)</f>
        <v>0</v>
      </c>
      <c r="AV47" s="4" t="str">
        <f>ROUND(114.4*(1+AB6)*(1+AB5)+AB7,2)</f>
        <v>0</v>
      </c>
      <c r="AW47" s="4" t="str">
        <f>ROUND(119.74*(1+AB6)*(1+AB5)+AB7,2)</f>
        <v>0</v>
      </c>
      <c r="AX47" s="4" t="str">
        <f>ROUND(125.06*(1+AB6)*(1+AB5)+AB7,2)</f>
        <v>0</v>
      </c>
      <c r="AY47" s="4" t="str">
        <f>ROUND(130.38*(1+AB6)*(1+AB5)+AB7,2)</f>
        <v>0</v>
      </c>
      <c r="AZ47" s="4" t="str">
        <f>ROUND(136.27*(1+AB6)*(1+AB5)+AB7,2)</f>
        <v>0</v>
      </c>
      <c r="BA47" s="4" t="str">
        <f>ROUND(141.6*(1+AB6)*(1+AB5)+AB7,2)</f>
        <v>0</v>
      </c>
      <c r="BB47" s="4" t="str">
        <f>ROUND(146.94*(1+AB6)*(1+AB5)+AB7,2)</f>
        <v>0</v>
      </c>
      <c r="BC47" s="4"/>
      <c r="BD47" s="4"/>
    </row>
    <row r="48" spans="1:56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5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>
      <c r="A49" s="4"/>
      <c r="B49" s="5"/>
      <c r="C49" s="8" t="s">
        <v>19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4"/>
      <c r="Z49" s="4"/>
      <c r="AA49" s="4"/>
      <c r="AB49" s="4"/>
      <c r="AC49" s="4"/>
      <c r="AD49" s="4"/>
      <c r="AE49" s="5"/>
      <c r="AF49" s="5"/>
      <c r="AG49" s="8" t="s">
        <v>19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4"/>
      <c r="BD49" s="4"/>
    </row>
    <row r="50" spans="1:56">
      <c r="A50" s="4"/>
      <c r="B50" s="5"/>
      <c r="C50" s="8" t="s">
        <v>20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4"/>
      <c r="Z50" s="4"/>
      <c r="AA50" s="4"/>
      <c r="AB50" s="4"/>
      <c r="AC50" s="4"/>
      <c r="AD50" s="4"/>
      <c r="AE50" s="5"/>
      <c r="AF50" s="5"/>
      <c r="AG50" s="8" t="s">
        <v>20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4"/>
      <c r="BD50" s="4"/>
    </row>
    <row r="51" spans="1:56">
      <c r="A51" s="4"/>
      <c r="B51" s="5"/>
      <c r="C51" s="9" t="s">
        <v>14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4"/>
      <c r="Z51" s="4"/>
      <c r="AA51" s="4"/>
      <c r="AB51" s="4"/>
      <c r="AC51" s="4"/>
      <c r="AD51" s="4"/>
      <c r="AE51" s="5"/>
      <c r="AF51" s="5"/>
      <c r="AG51" s="9" t="s">
        <v>14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4"/>
      <c r="BD51" s="4"/>
    </row>
    <row r="52" spans="1:56">
      <c r="A52" s="4"/>
      <c r="B52" s="6"/>
      <c r="C52" s="10" t="s">
        <v>15</v>
      </c>
      <c r="D52" s="10">
        <v>300</v>
      </c>
      <c r="E52" s="10">
        <v>400</v>
      </c>
      <c r="F52" s="10">
        <v>500</v>
      </c>
      <c r="G52" s="10">
        <v>600</v>
      </c>
      <c r="H52" s="10">
        <v>700</v>
      </c>
      <c r="I52" s="10">
        <v>800</v>
      </c>
      <c r="J52" s="10">
        <v>900</v>
      </c>
      <c r="K52" s="10">
        <v>1000</v>
      </c>
      <c r="L52" s="10">
        <v>1100</v>
      </c>
      <c r="M52" s="10">
        <v>1200</v>
      </c>
      <c r="N52" s="10">
        <v>1300</v>
      </c>
      <c r="O52" s="10">
        <v>1400</v>
      </c>
      <c r="P52" s="10">
        <v>1500</v>
      </c>
      <c r="Q52" s="10">
        <v>1600</v>
      </c>
      <c r="R52" s="10">
        <v>1700</v>
      </c>
      <c r="S52" s="10">
        <v>1800</v>
      </c>
      <c r="T52" s="10">
        <v>1900</v>
      </c>
      <c r="U52" s="10">
        <v>2000</v>
      </c>
      <c r="V52" s="10">
        <v>2100</v>
      </c>
      <c r="W52" s="10">
        <v>2200</v>
      </c>
      <c r="X52" s="10">
        <v>2300</v>
      </c>
      <c r="Y52" s="4"/>
      <c r="Z52" s="4"/>
      <c r="AA52" s="4"/>
      <c r="AB52" s="4"/>
      <c r="AC52" s="4"/>
      <c r="AD52" s="4"/>
      <c r="AE52" s="5"/>
      <c r="AF52" s="6"/>
      <c r="AG52" s="10" t="s">
        <v>15</v>
      </c>
      <c r="AH52" s="10">
        <v>300</v>
      </c>
      <c r="AI52" s="10">
        <v>400</v>
      </c>
      <c r="AJ52" s="10">
        <v>500</v>
      </c>
      <c r="AK52" s="10">
        <v>600</v>
      </c>
      <c r="AL52" s="10">
        <v>700</v>
      </c>
      <c r="AM52" s="10">
        <v>800</v>
      </c>
      <c r="AN52" s="10">
        <v>900</v>
      </c>
      <c r="AO52" s="10">
        <v>1000</v>
      </c>
      <c r="AP52" s="10">
        <v>1100</v>
      </c>
      <c r="AQ52" s="10">
        <v>1200</v>
      </c>
      <c r="AR52" s="10">
        <v>1300</v>
      </c>
      <c r="AS52" s="10">
        <v>1400</v>
      </c>
      <c r="AT52" s="10">
        <v>1500</v>
      </c>
      <c r="AU52" s="10">
        <v>1600</v>
      </c>
      <c r="AV52" s="10">
        <v>1700</v>
      </c>
      <c r="AW52" s="10">
        <v>1800</v>
      </c>
      <c r="AX52" s="10">
        <v>1900</v>
      </c>
      <c r="AY52" s="10">
        <v>2000</v>
      </c>
      <c r="AZ52" s="10">
        <v>2100</v>
      </c>
      <c r="BA52" s="10">
        <v>2200</v>
      </c>
      <c r="BB52" s="10">
        <v>2300</v>
      </c>
      <c r="BC52" s="4"/>
      <c r="BD52" s="4"/>
    </row>
    <row r="53" spans="1:56">
      <c r="A53" s="4"/>
      <c r="B53" s="6" t="s">
        <v>16</v>
      </c>
      <c r="C53" s="10">
        <v>1000</v>
      </c>
      <c r="D53" s="4">
        <v>51.12</v>
      </c>
      <c r="E53" s="4">
        <v>57.15</v>
      </c>
      <c r="F53" s="4">
        <v>63.19</v>
      </c>
      <c r="G53" s="4">
        <v>69.24</v>
      </c>
      <c r="H53" s="4">
        <v>75.3</v>
      </c>
      <c r="I53" s="4">
        <v>81.36</v>
      </c>
      <c r="J53" s="4">
        <v>87.4</v>
      </c>
      <c r="K53" s="4">
        <v>93.42</v>
      </c>
      <c r="L53" s="4">
        <v>100.3</v>
      </c>
      <c r="M53" s="4">
        <v>106.32</v>
      </c>
      <c r="N53" s="4">
        <v>112.39</v>
      </c>
      <c r="O53" s="4">
        <v>118.41</v>
      </c>
      <c r="P53" s="4">
        <v>124.48</v>
      </c>
      <c r="Q53" s="4">
        <v>131.33</v>
      </c>
      <c r="R53" s="4">
        <v>137.4</v>
      </c>
      <c r="S53" s="4">
        <v>143.43</v>
      </c>
      <c r="T53" s="4">
        <v>149.5</v>
      </c>
      <c r="U53" s="4">
        <v>155.52</v>
      </c>
      <c r="V53" s="4">
        <v>162.39</v>
      </c>
      <c r="W53" s="4">
        <v>168.43</v>
      </c>
      <c r="X53" s="4">
        <v>174.44</v>
      </c>
      <c r="Y53" s="4"/>
      <c r="Z53" s="4"/>
      <c r="AA53" s="4"/>
      <c r="AB53" s="4"/>
      <c r="AC53" s="4"/>
      <c r="AD53" s="4"/>
      <c r="AE53" s="5"/>
      <c r="AF53" s="6" t="s">
        <v>16</v>
      </c>
      <c r="AG53" s="10">
        <v>1000</v>
      </c>
      <c r="AH53" s="4" t="str">
        <f>ROUND(51.12*(1+AB6)*(1+AB5)+AB7,2)</f>
        <v>0</v>
      </c>
      <c r="AI53" s="4" t="str">
        <f>ROUND(57.15*(1+AB6)*(1+AB5)+AB7,2)</f>
        <v>0</v>
      </c>
      <c r="AJ53" s="4" t="str">
        <f>ROUND(63.19*(1+AB6)*(1+AB5)+AB7,2)</f>
        <v>0</v>
      </c>
      <c r="AK53" s="4" t="str">
        <f>ROUND(69.24*(1+AB6)*(1+AB5)+AB7,2)</f>
        <v>0</v>
      </c>
      <c r="AL53" s="4" t="str">
        <f>ROUND(75.3*(1+AB6)*(1+AB5)+AB7,2)</f>
        <v>0</v>
      </c>
      <c r="AM53" s="4" t="str">
        <f>ROUND(81.36*(1+AB6)*(1+AB5)+AB7,2)</f>
        <v>0</v>
      </c>
      <c r="AN53" s="4" t="str">
        <f>ROUND(87.4*(1+AB6)*(1+AB5)+AB7,2)</f>
        <v>0</v>
      </c>
      <c r="AO53" s="4" t="str">
        <f>ROUND(93.42*(1+AB6)*(1+AB5)+AB7,2)</f>
        <v>0</v>
      </c>
      <c r="AP53" s="4" t="str">
        <f>ROUND(100.3*(1+AB6)*(1+AB5)+AB7,2)</f>
        <v>0</v>
      </c>
      <c r="AQ53" s="4" t="str">
        <f>ROUND(106.32*(1+AB6)*(1+AB5)+AB7,2)</f>
        <v>0</v>
      </c>
      <c r="AR53" s="4" t="str">
        <f>ROUND(112.39*(1+AB6)*(1+AB5)+AB7,2)</f>
        <v>0</v>
      </c>
      <c r="AS53" s="4" t="str">
        <f>ROUND(118.41*(1+AB6)*(1+AB5)+AB7,2)</f>
        <v>0</v>
      </c>
      <c r="AT53" s="4" t="str">
        <f>ROUND(124.48*(1+AB6)*(1+AB5)+AB7,2)</f>
        <v>0</v>
      </c>
      <c r="AU53" s="4" t="str">
        <f>ROUND(131.33*(1+AB6)*(1+AB5)+AB7,2)</f>
        <v>0</v>
      </c>
      <c r="AV53" s="4" t="str">
        <f>ROUND(137.4*(1+AB6)*(1+AB5)+AB7,2)</f>
        <v>0</v>
      </c>
      <c r="AW53" s="4" t="str">
        <f>ROUND(143.43*(1+AB6)*(1+AB5)+AB7,2)</f>
        <v>0</v>
      </c>
      <c r="AX53" s="4" t="str">
        <f>ROUND(149.5*(1+AB6)*(1+AB5)+AB7,2)</f>
        <v>0</v>
      </c>
      <c r="AY53" s="4" t="str">
        <f>ROUND(155.52*(1+AB6)*(1+AB5)+AB7,2)</f>
        <v>0</v>
      </c>
      <c r="AZ53" s="4" t="str">
        <f>ROUND(162.39*(1+AB6)*(1+AB5)+AB7,2)</f>
        <v>0</v>
      </c>
      <c r="BA53" s="4" t="str">
        <f>ROUND(168.43*(1+AB6)*(1+AB5)+AB7,2)</f>
        <v>0</v>
      </c>
      <c r="BB53" s="4" t="str">
        <f>ROUND(174.44*(1+AB6)*(1+AB5)+AB7,2)</f>
        <v>0</v>
      </c>
      <c r="BC53" s="4"/>
      <c r="BD53" s="4"/>
    </row>
    <row r="54" spans="1:56">
      <c r="A54" s="4"/>
      <c r="B54" s="6"/>
      <c r="C54" s="10">
        <v>1100</v>
      </c>
      <c r="D54" s="4">
        <v>51.66</v>
      </c>
      <c r="E54" s="4">
        <v>57.83</v>
      </c>
      <c r="F54" s="4">
        <v>64.02</v>
      </c>
      <c r="G54" s="4">
        <v>70.23</v>
      </c>
      <c r="H54" s="4">
        <v>76.41</v>
      </c>
      <c r="I54" s="4">
        <v>82.63</v>
      </c>
      <c r="J54" s="4">
        <v>88.8</v>
      </c>
      <c r="K54" s="4">
        <v>95</v>
      </c>
      <c r="L54" s="4">
        <v>102.02</v>
      </c>
      <c r="M54" s="4">
        <v>108.23</v>
      </c>
      <c r="N54" s="4">
        <v>114.41</v>
      </c>
      <c r="O54" s="4">
        <v>120.63</v>
      </c>
      <c r="P54" s="4">
        <v>126.82</v>
      </c>
      <c r="Q54" s="4">
        <v>133.84</v>
      </c>
      <c r="R54" s="4">
        <v>140.02</v>
      </c>
      <c r="S54" s="4">
        <v>146.2</v>
      </c>
      <c r="T54" s="4">
        <v>152.41</v>
      </c>
      <c r="U54" s="4">
        <v>158.61</v>
      </c>
      <c r="V54" s="4">
        <v>165.61</v>
      </c>
      <c r="W54" s="4">
        <v>171.83</v>
      </c>
      <c r="X54" s="4">
        <v>177.98</v>
      </c>
      <c r="Y54" s="4"/>
      <c r="Z54" s="4"/>
      <c r="AA54" s="4"/>
      <c r="AB54" s="4"/>
      <c r="AC54" s="4"/>
      <c r="AD54" s="4"/>
      <c r="AE54" s="5"/>
      <c r="AF54" s="6"/>
      <c r="AG54" s="10">
        <v>1100</v>
      </c>
      <c r="AH54" s="4" t="str">
        <f>ROUND(51.66*(1+AB6)*(1+AB5)+AB7,2)</f>
        <v>0</v>
      </c>
      <c r="AI54" s="4" t="str">
        <f>ROUND(57.83*(1+AB6)*(1+AB5)+AB7,2)</f>
        <v>0</v>
      </c>
      <c r="AJ54" s="4" t="str">
        <f>ROUND(64.02*(1+AB6)*(1+AB5)+AB7,2)</f>
        <v>0</v>
      </c>
      <c r="AK54" s="4" t="str">
        <f>ROUND(70.23*(1+AB6)*(1+AB5)+AB7,2)</f>
        <v>0</v>
      </c>
      <c r="AL54" s="4" t="str">
        <f>ROUND(76.41*(1+AB6)*(1+AB5)+AB7,2)</f>
        <v>0</v>
      </c>
      <c r="AM54" s="4" t="str">
        <f>ROUND(82.63*(1+AB6)*(1+AB5)+AB7,2)</f>
        <v>0</v>
      </c>
      <c r="AN54" s="4" t="str">
        <f>ROUND(88.8*(1+AB6)*(1+AB5)+AB7,2)</f>
        <v>0</v>
      </c>
      <c r="AO54" s="4" t="str">
        <f>ROUND(95*(1+AB6)*(1+AB5)+AB7,2)</f>
        <v>0</v>
      </c>
      <c r="AP54" s="4" t="str">
        <f>ROUND(102.02*(1+AB6)*(1+AB5)+AB7,2)</f>
        <v>0</v>
      </c>
      <c r="AQ54" s="4" t="str">
        <f>ROUND(108.23*(1+AB6)*(1+AB5)+AB7,2)</f>
        <v>0</v>
      </c>
      <c r="AR54" s="4" t="str">
        <f>ROUND(114.41*(1+AB6)*(1+AB5)+AB7,2)</f>
        <v>0</v>
      </c>
      <c r="AS54" s="4" t="str">
        <f>ROUND(120.63*(1+AB6)*(1+AB5)+AB7,2)</f>
        <v>0</v>
      </c>
      <c r="AT54" s="4" t="str">
        <f>ROUND(126.82*(1+AB6)*(1+AB5)+AB7,2)</f>
        <v>0</v>
      </c>
      <c r="AU54" s="4" t="str">
        <f>ROUND(133.84*(1+AB6)*(1+AB5)+AB7,2)</f>
        <v>0</v>
      </c>
      <c r="AV54" s="4" t="str">
        <f>ROUND(140.02*(1+AB6)*(1+AB5)+AB7,2)</f>
        <v>0</v>
      </c>
      <c r="AW54" s="4" t="str">
        <f>ROUND(146.2*(1+AB6)*(1+AB5)+AB7,2)</f>
        <v>0</v>
      </c>
      <c r="AX54" s="4" t="str">
        <f>ROUND(152.41*(1+AB6)*(1+AB5)+AB7,2)</f>
        <v>0</v>
      </c>
      <c r="AY54" s="4" t="str">
        <f>ROUND(158.61*(1+AB6)*(1+AB5)+AB7,2)</f>
        <v>0</v>
      </c>
      <c r="AZ54" s="4" t="str">
        <f>ROUND(165.61*(1+AB6)*(1+AB5)+AB7,2)</f>
        <v>0</v>
      </c>
      <c r="BA54" s="4" t="str">
        <f>ROUND(171.83*(1+AB6)*(1+AB5)+AB7,2)</f>
        <v>0</v>
      </c>
      <c r="BB54" s="4" t="str">
        <f>ROUND(177.98*(1+AB6)*(1+AB5)+AB7,2)</f>
        <v>0</v>
      </c>
      <c r="BC54" s="4"/>
      <c r="BD54" s="4"/>
    </row>
    <row r="55" spans="1:56">
      <c r="A55" s="4"/>
      <c r="B55" s="6"/>
      <c r="C55" s="10">
        <v>1200</v>
      </c>
      <c r="D55" s="4">
        <v>52.2</v>
      </c>
      <c r="E55" s="4">
        <v>58.53</v>
      </c>
      <c r="F55" s="4">
        <v>64.86</v>
      </c>
      <c r="G55" s="4">
        <v>71.2</v>
      </c>
      <c r="H55" s="4">
        <v>77.54</v>
      </c>
      <c r="I55" s="4">
        <v>83.91</v>
      </c>
      <c r="J55" s="4">
        <v>90.25</v>
      </c>
      <c r="K55" s="4">
        <v>96.59</v>
      </c>
      <c r="L55" s="4">
        <v>103.78</v>
      </c>
      <c r="M55" s="4">
        <v>110.11</v>
      </c>
      <c r="N55" s="4">
        <v>118.72</v>
      </c>
      <c r="O55" s="4">
        <v>122.79</v>
      </c>
      <c r="P55" s="4">
        <v>129.12</v>
      </c>
      <c r="Q55" s="4">
        <v>136.29</v>
      </c>
      <c r="R55" s="4">
        <v>142.65</v>
      </c>
      <c r="S55" s="4">
        <v>149.01</v>
      </c>
      <c r="T55" s="4">
        <v>155.33</v>
      </c>
      <c r="U55" s="4">
        <v>161.69</v>
      </c>
      <c r="V55" s="4">
        <v>168.84</v>
      </c>
      <c r="W55" s="4">
        <v>175.19</v>
      </c>
      <c r="X55" s="4">
        <v>181.51</v>
      </c>
      <c r="Y55" s="4"/>
      <c r="Z55" s="4"/>
      <c r="AA55" s="4"/>
      <c r="AB55" s="4"/>
      <c r="AC55" s="4"/>
      <c r="AD55" s="4"/>
      <c r="AE55" s="5"/>
      <c r="AF55" s="6"/>
      <c r="AG55" s="10">
        <v>1200</v>
      </c>
      <c r="AH55" s="4" t="str">
        <f>ROUND(52.2*(1+AB6)*(1+AB5)+AB7,2)</f>
        <v>0</v>
      </c>
      <c r="AI55" s="4" t="str">
        <f>ROUND(58.53*(1+AB6)*(1+AB5)+AB7,2)</f>
        <v>0</v>
      </c>
      <c r="AJ55" s="4" t="str">
        <f>ROUND(64.86*(1+AB6)*(1+AB5)+AB7,2)</f>
        <v>0</v>
      </c>
      <c r="AK55" s="4" t="str">
        <f>ROUND(71.2*(1+AB6)*(1+AB5)+AB7,2)</f>
        <v>0</v>
      </c>
      <c r="AL55" s="4" t="str">
        <f>ROUND(77.54*(1+AB6)*(1+AB5)+AB7,2)</f>
        <v>0</v>
      </c>
      <c r="AM55" s="4" t="str">
        <f>ROUND(83.91*(1+AB6)*(1+AB5)+AB7,2)</f>
        <v>0</v>
      </c>
      <c r="AN55" s="4" t="str">
        <f>ROUND(90.25*(1+AB6)*(1+AB5)+AB7,2)</f>
        <v>0</v>
      </c>
      <c r="AO55" s="4" t="str">
        <f>ROUND(96.59*(1+AB6)*(1+AB5)+AB7,2)</f>
        <v>0</v>
      </c>
      <c r="AP55" s="4" t="str">
        <f>ROUND(103.78*(1+AB6)*(1+AB5)+AB7,2)</f>
        <v>0</v>
      </c>
      <c r="AQ55" s="4" t="str">
        <f>ROUND(110.11*(1+AB6)*(1+AB5)+AB7,2)</f>
        <v>0</v>
      </c>
      <c r="AR55" s="4" t="str">
        <f>ROUND(118.72*(1+AB6)*(1+AB5)+AB7,2)</f>
        <v>0</v>
      </c>
      <c r="AS55" s="4" t="str">
        <f>ROUND(122.79*(1+AB6)*(1+AB5)+AB7,2)</f>
        <v>0</v>
      </c>
      <c r="AT55" s="4" t="str">
        <f>ROUND(129.12*(1+AB6)*(1+AB5)+AB7,2)</f>
        <v>0</v>
      </c>
      <c r="AU55" s="4" t="str">
        <f>ROUND(136.29*(1+AB6)*(1+AB5)+AB7,2)</f>
        <v>0</v>
      </c>
      <c r="AV55" s="4" t="str">
        <f>ROUND(142.65*(1+AB6)*(1+AB5)+AB7,2)</f>
        <v>0</v>
      </c>
      <c r="AW55" s="4" t="str">
        <f>ROUND(149.01*(1+AB6)*(1+AB5)+AB7,2)</f>
        <v>0</v>
      </c>
      <c r="AX55" s="4" t="str">
        <f>ROUND(155.33*(1+AB6)*(1+AB5)+AB7,2)</f>
        <v>0</v>
      </c>
      <c r="AY55" s="4" t="str">
        <f>ROUND(161.69*(1+AB6)*(1+AB5)+AB7,2)</f>
        <v>0</v>
      </c>
      <c r="AZ55" s="4" t="str">
        <f>ROUND(168.84*(1+AB6)*(1+AB5)+AB7,2)</f>
        <v>0</v>
      </c>
      <c r="BA55" s="4" t="str">
        <f>ROUND(175.19*(1+AB6)*(1+AB5)+AB7,2)</f>
        <v>0</v>
      </c>
      <c r="BB55" s="4" t="str">
        <f>ROUND(181.51*(1+AB6)*(1+AB5)+AB7,2)</f>
        <v>0</v>
      </c>
      <c r="BC55" s="4"/>
      <c r="BD55" s="4"/>
    </row>
    <row r="56" spans="1:56">
      <c r="A56" s="4"/>
      <c r="B56" s="6"/>
      <c r="C56" s="10">
        <v>1300</v>
      </c>
      <c r="D56" s="4">
        <v>52.7</v>
      </c>
      <c r="E56" s="4">
        <v>59.19</v>
      </c>
      <c r="F56" s="4">
        <v>65.7</v>
      </c>
      <c r="G56" s="4">
        <v>72.2</v>
      </c>
      <c r="H56" s="4">
        <v>78.68</v>
      </c>
      <c r="I56" s="4">
        <v>85.03</v>
      </c>
      <c r="J56" s="4">
        <v>91.66</v>
      </c>
      <c r="K56" s="4">
        <v>98.18</v>
      </c>
      <c r="L56" s="4">
        <v>105.51</v>
      </c>
      <c r="M56" s="4">
        <v>111.97</v>
      </c>
      <c r="N56" s="4">
        <v>118.48</v>
      </c>
      <c r="O56" s="4">
        <v>124.97</v>
      </c>
      <c r="P56" s="4">
        <v>131.46</v>
      </c>
      <c r="Q56" s="4">
        <v>138.79</v>
      </c>
      <c r="R56" s="4">
        <v>145.29</v>
      </c>
      <c r="S56" s="4">
        <v>151.76</v>
      </c>
      <c r="T56" s="4">
        <v>158.28</v>
      </c>
      <c r="U56" s="4">
        <v>164.75</v>
      </c>
      <c r="V56" s="4">
        <v>172.07</v>
      </c>
      <c r="W56" s="4">
        <v>178.59</v>
      </c>
      <c r="X56" s="4">
        <v>185.07</v>
      </c>
      <c r="Y56" s="4"/>
      <c r="Z56" s="4"/>
      <c r="AA56" s="4"/>
      <c r="AB56" s="4"/>
      <c r="AC56" s="4"/>
      <c r="AD56" s="4"/>
      <c r="AE56" s="5"/>
      <c r="AF56" s="6"/>
      <c r="AG56" s="10">
        <v>1300</v>
      </c>
      <c r="AH56" s="4" t="str">
        <f>ROUND(52.7*(1+AB6)*(1+AB5)+AB7,2)</f>
        <v>0</v>
      </c>
      <c r="AI56" s="4" t="str">
        <f>ROUND(59.19*(1+AB6)*(1+AB5)+AB7,2)</f>
        <v>0</v>
      </c>
      <c r="AJ56" s="4" t="str">
        <f>ROUND(65.7*(1+AB6)*(1+AB5)+AB7,2)</f>
        <v>0</v>
      </c>
      <c r="AK56" s="4" t="str">
        <f>ROUND(72.2*(1+AB6)*(1+AB5)+AB7,2)</f>
        <v>0</v>
      </c>
      <c r="AL56" s="4" t="str">
        <f>ROUND(78.68*(1+AB6)*(1+AB5)+AB7,2)</f>
        <v>0</v>
      </c>
      <c r="AM56" s="4" t="str">
        <f>ROUND(85.03*(1+AB6)*(1+AB5)+AB7,2)</f>
        <v>0</v>
      </c>
      <c r="AN56" s="4" t="str">
        <f>ROUND(91.66*(1+AB6)*(1+AB5)+AB7,2)</f>
        <v>0</v>
      </c>
      <c r="AO56" s="4" t="str">
        <f>ROUND(98.18*(1+AB6)*(1+AB5)+AB7,2)</f>
        <v>0</v>
      </c>
      <c r="AP56" s="4" t="str">
        <f>ROUND(105.51*(1+AB6)*(1+AB5)+AB7,2)</f>
        <v>0</v>
      </c>
      <c r="AQ56" s="4" t="str">
        <f>ROUND(111.97*(1+AB6)*(1+AB5)+AB7,2)</f>
        <v>0</v>
      </c>
      <c r="AR56" s="4" t="str">
        <f>ROUND(118.48*(1+AB6)*(1+AB5)+AB7,2)</f>
        <v>0</v>
      </c>
      <c r="AS56" s="4" t="str">
        <f>ROUND(124.97*(1+AB6)*(1+AB5)+AB7,2)</f>
        <v>0</v>
      </c>
      <c r="AT56" s="4" t="str">
        <f>ROUND(131.46*(1+AB6)*(1+AB5)+AB7,2)</f>
        <v>0</v>
      </c>
      <c r="AU56" s="4" t="str">
        <f>ROUND(138.79*(1+AB6)*(1+AB5)+AB7,2)</f>
        <v>0</v>
      </c>
      <c r="AV56" s="4" t="str">
        <f>ROUND(145.29*(1+AB6)*(1+AB5)+AB7,2)</f>
        <v>0</v>
      </c>
      <c r="AW56" s="4" t="str">
        <f>ROUND(151.76*(1+AB6)*(1+AB5)+AB7,2)</f>
        <v>0</v>
      </c>
      <c r="AX56" s="4" t="str">
        <f>ROUND(158.28*(1+AB6)*(1+AB5)+AB7,2)</f>
        <v>0</v>
      </c>
      <c r="AY56" s="4" t="str">
        <f>ROUND(164.75*(1+AB6)*(1+AB5)+AB7,2)</f>
        <v>0</v>
      </c>
      <c r="AZ56" s="4" t="str">
        <f>ROUND(172.07*(1+AB6)*(1+AB5)+AB7,2)</f>
        <v>0</v>
      </c>
      <c r="BA56" s="4" t="str">
        <f>ROUND(178.59*(1+AB6)*(1+AB5)+AB7,2)</f>
        <v>0</v>
      </c>
      <c r="BB56" s="4" t="str">
        <f>ROUND(185.07*(1+AB6)*(1+AB5)+AB7,2)</f>
        <v>0</v>
      </c>
      <c r="BC56" s="4"/>
      <c r="BD56" s="4"/>
    </row>
    <row r="57" spans="1:56">
      <c r="A57" s="4"/>
      <c r="B57" s="6"/>
      <c r="C57" s="10">
        <v>1400</v>
      </c>
      <c r="D57" s="4">
        <v>53.24</v>
      </c>
      <c r="E57" s="4">
        <v>59.88</v>
      </c>
      <c r="F57" s="4">
        <v>66.53</v>
      </c>
      <c r="G57" s="4">
        <v>73.17</v>
      </c>
      <c r="H57" s="4">
        <v>79.82</v>
      </c>
      <c r="I57" s="4">
        <v>86.48</v>
      </c>
      <c r="J57" s="4">
        <v>93.12</v>
      </c>
      <c r="K57" s="4">
        <v>99.76</v>
      </c>
      <c r="L57" s="4">
        <v>107.2</v>
      </c>
      <c r="M57" s="4">
        <v>113.85</v>
      </c>
      <c r="N57" s="4">
        <v>120.52</v>
      </c>
      <c r="O57" s="4">
        <v>127.15</v>
      </c>
      <c r="P57" s="4">
        <v>133.8</v>
      </c>
      <c r="Q57" s="4">
        <v>141.26</v>
      </c>
      <c r="R57" s="4">
        <v>147.89</v>
      </c>
      <c r="S57" s="4">
        <v>154.5</v>
      </c>
      <c r="T57" s="4">
        <v>161.19</v>
      </c>
      <c r="U57" s="4">
        <v>167.84</v>
      </c>
      <c r="V57" s="4">
        <v>175.29</v>
      </c>
      <c r="W57" s="4">
        <v>181.94</v>
      </c>
      <c r="X57" s="4">
        <v>188.6</v>
      </c>
      <c r="Y57" s="4"/>
      <c r="Z57" s="4"/>
      <c r="AA57" s="4"/>
      <c r="AB57" s="4"/>
      <c r="AC57" s="4"/>
      <c r="AD57" s="4"/>
      <c r="AE57" s="5"/>
      <c r="AF57" s="6"/>
      <c r="AG57" s="10">
        <v>1400</v>
      </c>
      <c r="AH57" s="4" t="str">
        <f>ROUND(53.24*(1+AB6)*(1+AB5)+AB7,2)</f>
        <v>0</v>
      </c>
      <c r="AI57" s="4" t="str">
        <f>ROUND(59.88*(1+AB6)*(1+AB5)+AB7,2)</f>
        <v>0</v>
      </c>
      <c r="AJ57" s="4" t="str">
        <f>ROUND(66.53*(1+AB6)*(1+AB5)+AB7,2)</f>
        <v>0</v>
      </c>
      <c r="AK57" s="4" t="str">
        <f>ROUND(73.17*(1+AB6)*(1+AB5)+AB7,2)</f>
        <v>0</v>
      </c>
      <c r="AL57" s="4" t="str">
        <f>ROUND(79.82*(1+AB6)*(1+AB5)+AB7,2)</f>
        <v>0</v>
      </c>
      <c r="AM57" s="4" t="str">
        <f>ROUND(86.48*(1+AB6)*(1+AB5)+AB7,2)</f>
        <v>0</v>
      </c>
      <c r="AN57" s="4" t="str">
        <f>ROUND(93.12*(1+AB6)*(1+AB5)+AB7,2)</f>
        <v>0</v>
      </c>
      <c r="AO57" s="4" t="str">
        <f>ROUND(99.76*(1+AB6)*(1+AB5)+AB7,2)</f>
        <v>0</v>
      </c>
      <c r="AP57" s="4" t="str">
        <f>ROUND(107.2*(1+AB6)*(1+AB5)+AB7,2)</f>
        <v>0</v>
      </c>
      <c r="AQ57" s="4" t="str">
        <f>ROUND(113.85*(1+AB6)*(1+AB5)+AB7,2)</f>
        <v>0</v>
      </c>
      <c r="AR57" s="4" t="str">
        <f>ROUND(120.52*(1+AB6)*(1+AB5)+AB7,2)</f>
        <v>0</v>
      </c>
      <c r="AS57" s="4" t="str">
        <f>ROUND(127.15*(1+AB6)*(1+AB5)+AB7,2)</f>
        <v>0</v>
      </c>
      <c r="AT57" s="4" t="str">
        <f>ROUND(133.8*(1+AB6)*(1+AB5)+AB7,2)</f>
        <v>0</v>
      </c>
      <c r="AU57" s="4" t="str">
        <f>ROUND(141.26*(1+AB6)*(1+AB5)+AB7,2)</f>
        <v>0</v>
      </c>
      <c r="AV57" s="4" t="str">
        <f>ROUND(147.89*(1+AB6)*(1+AB5)+AB7,2)</f>
        <v>0</v>
      </c>
      <c r="AW57" s="4" t="str">
        <f>ROUND(154.5*(1+AB6)*(1+AB5)+AB7,2)</f>
        <v>0</v>
      </c>
      <c r="AX57" s="4" t="str">
        <f>ROUND(161.19*(1+AB6)*(1+AB5)+AB7,2)</f>
        <v>0</v>
      </c>
      <c r="AY57" s="4" t="str">
        <f>ROUND(167.84*(1+AB6)*(1+AB5)+AB7,2)</f>
        <v>0</v>
      </c>
      <c r="AZ57" s="4" t="str">
        <f>ROUND(175.29*(1+AB6)*(1+AB5)+AB7,2)</f>
        <v>0</v>
      </c>
      <c r="BA57" s="4" t="str">
        <f>ROUND(181.94*(1+AB6)*(1+AB5)+AB7,2)</f>
        <v>0</v>
      </c>
      <c r="BB57" s="4" t="str">
        <f>ROUND(188.6*(1+AB6)*(1+AB5)+AB7,2)</f>
        <v>0</v>
      </c>
      <c r="BC57" s="4"/>
      <c r="BD57" s="4"/>
    </row>
    <row r="58" spans="1:56">
      <c r="A58" s="4"/>
      <c r="B58" s="6"/>
      <c r="C58" s="10">
        <v>1500</v>
      </c>
      <c r="D58" s="4">
        <v>53.76</v>
      </c>
      <c r="E58" s="4">
        <v>60.55</v>
      </c>
      <c r="F58" s="4">
        <v>67.37</v>
      </c>
      <c r="G58" s="4">
        <v>74.15</v>
      </c>
      <c r="H58" s="4">
        <v>80.93</v>
      </c>
      <c r="I58" s="4">
        <v>87.75</v>
      </c>
      <c r="J58" s="4">
        <v>94.54</v>
      </c>
      <c r="K58" s="4">
        <v>101.35</v>
      </c>
      <c r="L58" s="4">
        <v>108.93</v>
      </c>
      <c r="M58" s="4">
        <v>115.76</v>
      </c>
      <c r="N58" s="4">
        <v>122.54</v>
      </c>
      <c r="O58" s="4">
        <v>129.32</v>
      </c>
      <c r="P58" s="4">
        <v>136.14</v>
      </c>
      <c r="Q58" s="4">
        <v>143.73</v>
      </c>
      <c r="R58" s="4">
        <v>150.55</v>
      </c>
      <c r="S58" s="4">
        <v>157.34</v>
      </c>
      <c r="T58" s="4">
        <v>164.14</v>
      </c>
      <c r="U58" s="4">
        <v>170.91</v>
      </c>
      <c r="V58" s="4">
        <v>178.55</v>
      </c>
      <c r="W58" s="4">
        <v>185.34</v>
      </c>
      <c r="X58" s="4">
        <v>192.15</v>
      </c>
      <c r="Y58" s="4"/>
      <c r="Z58" s="4"/>
      <c r="AA58" s="4"/>
      <c r="AB58" s="4"/>
      <c r="AC58" s="4"/>
      <c r="AD58" s="4"/>
      <c r="AE58" s="5"/>
      <c r="AF58" s="6"/>
      <c r="AG58" s="10">
        <v>1500</v>
      </c>
      <c r="AH58" s="4" t="str">
        <f>ROUND(53.76*(1+AB6)*(1+AB5)+AB7,2)</f>
        <v>0</v>
      </c>
      <c r="AI58" s="4" t="str">
        <f>ROUND(60.55*(1+AB6)*(1+AB5)+AB7,2)</f>
        <v>0</v>
      </c>
      <c r="AJ58" s="4" t="str">
        <f>ROUND(67.37*(1+AB6)*(1+AB5)+AB7,2)</f>
        <v>0</v>
      </c>
      <c r="AK58" s="4" t="str">
        <f>ROUND(74.15*(1+AB6)*(1+AB5)+AB7,2)</f>
        <v>0</v>
      </c>
      <c r="AL58" s="4" t="str">
        <f>ROUND(80.93*(1+AB6)*(1+AB5)+AB7,2)</f>
        <v>0</v>
      </c>
      <c r="AM58" s="4" t="str">
        <f>ROUND(87.75*(1+AB6)*(1+AB5)+AB7,2)</f>
        <v>0</v>
      </c>
      <c r="AN58" s="4" t="str">
        <f>ROUND(94.54*(1+AB6)*(1+AB5)+AB7,2)</f>
        <v>0</v>
      </c>
      <c r="AO58" s="4" t="str">
        <f>ROUND(101.35*(1+AB6)*(1+AB5)+AB7,2)</f>
        <v>0</v>
      </c>
      <c r="AP58" s="4" t="str">
        <f>ROUND(108.93*(1+AB6)*(1+AB5)+AB7,2)</f>
        <v>0</v>
      </c>
      <c r="AQ58" s="4" t="str">
        <f>ROUND(115.76*(1+AB6)*(1+AB5)+AB7,2)</f>
        <v>0</v>
      </c>
      <c r="AR58" s="4" t="str">
        <f>ROUND(122.54*(1+AB6)*(1+AB5)+AB7,2)</f>
        <v>0</v>
      </c>
      <c r="AS58" s="4" t="str">
        <f>ROUND(129.32*(1+AB6)*(1+AB5)+AB7,2)</f>
        <v>0</v>
      </c>
      <c r="AT58" s="4" t="str">
        <f>ROUND(136.14*(1+AB6)*(1+AB5)+AB7,2)</f>
        <v>0</v>
      </c>
      <c r="AU58" s="4" t="str">
        <f>ROUND(143.73*(1+AB6)*(1+AB5)+AB7,2)</f>
        <v>0</v>
      </c>
      <c r="AV58" s="4" t="str">
        <f>ROUND(150.55*(1+AB6)*(1+AB5)+AB7,2)</f>
        <v>0</v>
      </c>
      <c r="AW58" s="4" t="str">
        <f>ROUND(157.34*(1+AB6)*(1+AB5)+AB7,2)</f>
        <v>0</v>
      </c>
      <c r="AX58" s="4" t="str">
        <f>ROUND(164.14*(1+AB6)*(1+AB5)+AB7,2)</f>
        <v>0</v>
      </c>
      <c r="AY58" s="4" t="str">
        <f>ROUND(170.91*(1+AB6)*(1+AB5)+AB7,2)</f>
        <v>0</v>
      </c>
      <c r="AZ58" s="4" t="str">
        <f>ROUND(178.55*(1+AB6)*(1+AB5)+AB7,2)</f>
        <v>0</v>
      </c>
      <c r="BA58" s="4" t="str">
        <f>ROUND(185.34*(1+AB6)*(1+AB5)+AB7,2)</f>
        <v>0</v>
      </c>
      <c r="BB58" s="4" t="str">
        <f>ROUND(192.15*(1+AB6)*(1+AB5)+AB7,2)</f>
        <v>0</v>
      </c>
      <c r="BC58" s="4"/>
      <c r="BD58" s="4"/>
    </row>
    <row r="59" spans="1:56">
      <c r="A59" s="4"/>
      <c r="B59" s="6"/>
      <c r="C59" s="10">
        <v>1600</v>
      </c>
      <c r="D59" s="4">
        <v>54.3</v>
      </c>
      <c r="E59" s="4">
        <v>61.25</v>
      </c>
      <c r="F59" s="4">
        <v>68.17</v>
      </c>
      <c r="G59" s="4">
        <v>75.11</v>
      </c>
      <c r="H59" s="4">
        <v>82.08</v>
      </c>
      <c r="I59" s="4">
        <v>89.04</v>
      </c>
      <c r="J59" s="4">
        <v>95.99</v>
      </c>
      <c r="K59" s="4">
        <v>102.91</v>
      </c>
      <c r="L59" s="4">
        <v>110.65</v>
      </c>
      <c r="M59" s="4">
        <v>117.61</v>
      </c>
      <c r="N59" s="4">
        <v>124.58</v>
      </c>
      <c r="O59" s="4">
        <v>131.53</v>
      </c>
      <c r="P59" s="4">
        <v>138.48</v>
      </c>
      <c r="Q59" s="4">
        <v>146.22</v>
      </c>
      <c r="R59" s="4">
        <v>153.16</v>
      </c>
      <c r="S59" s="4">
        <v>160.11</v>
      </c>
      <c r="T59" s="4">
        <v>167.08</v>
      </c>
      <c r="U59" s="4">
        <v>174.02</v>
      </c>
      <c r="V59" s="4">
        <v>181.78</v>
      </c>
      <c r="W59" s="4">
        <v>188.73</v>
      </c>
      <c r="X59" s="4">
        <v>195.68</v>
      </c>
      <c r="Y59" s="4"/>
      <c r="Z59" s="4"/>
      <c r="AA59" s="4"/>
      <c r="AB59" s="4"/>
      <c r="AC59" s="4"/>
      <c r="AD59" s="4"/>
      <c r="AE59" s="5"/>
      <c r="AF59" s="6"/>
      <c r="AG59" s="10">
        <v>1600</v>
      </c>
      <c r="AH59" s="4" t="str">
        <f>ROUND(54.3*(1+AB6)*(1+AB5)+AB7,2)</f>
        <v>0</v>
      </c>
      <c r="AI59" s="4" t="str">
        <f>ROUND(61.25*(1+AB6)*(1+AB5)+AB7,2)</f>
        <v>0</v>
      </c>
      <c r="AJ59" s="4" t="str">
        <f>ROUND(68.17*(1+AB6)*(1+AB5)+AB7,2)</f>
        <v>0</v>
      </c>
      <c r="AK59" s="4" t="str">
        <f>ROUND(75.11*(1+AB6)*(1+AB5)+AB7,2)</f>
        <v>0</v>
      </c>
      <c r="AL59" s="4" t="str">
        <f>ROUND(82.08*(1+AB6)*(1+AB5)+AB7,2)</f>
        <v>0</v>
      </c>
      <c r="AM59" s="4" t="str">
        <f>ROUND(89.04*(1+AB6)*(1+AB5)+AB7,2)</f>
        <v>0</v>
      </c>
      <c r="AN59" s="4" t="str">
        <f>ROUND(95.99*(1+AB6)*(1+AB5)+AB7,2)</f>
        <v>0</v>
      </c>
      <c r="AO59" s="4" t="str">
        <f>ROUND(102.91*(1+AB6)*(1+AB5)+AB7,2)</f>
        <v>0</v>
      </c>
      <c r="AP59" s="4" t="str">
        <f>ROUND(110.65*(1+AB6)*(1+AB5)+AB7,2)</f>
        <v>0</v>
      </c>
      <c r="AQ59" s="4" t="str">
        <f>ROUND(117.61*(1+AB6)*(1+AB5)+AB7,2)</f>
        <v>0</v>
      </c>
      <c r="AR59" s="4" t="str">
        <f>ROUND(124.58*(1+AB6)*(1+AB5)+AB7,2)</f>
        <v>0</v>
      </c>
      <c r="AS59" s="4" t="str">
        <f>ROUND(131.53*(1+AB6)*(1+AB5)+AB7,2)</f>
        <v>0</v>
      </c>
      <c r="AT59" s="4" t="str">
        <f>ROUND(138.48*(1+AB6)*(1+AB5)+AB7,2)</f>
        <v>0</v>
      </c>
      <c r="AU59" s="4" t="str">
        <f>ROUND(146.22*(1+AB6)*(1+AB5)+AB7,2)</f>
        <v>0</v>
      </c>
      <c r="AV59" s="4" t="str">
        <f>ROUND(153.16*(1+AB6)*(1+AB5)+AB7,2)</f>
        <v>0</v>
      </c>
      <c r="AW59" s="4" t="str">
        <f>ROUND(160.11*(1+AB6)*(1+AB5)+AB7,2)</f>
        <v>0</v>
      </c>
      <c r="AX59" s="4" t="str">
        <f>ROUND(167.08*(1+AB6)*(1+AB5)+AB7,2)</f>
        <v>0</v>
      </c>
      <c r="AY59" s="4" t="str">
        <f>ROUND(174.02*(1+AB6)*(1+AB5)+AB7,2)</f>
        <v>0</v>
      </c>
      <c r="AZ59" s="4" t="str">
        <f>ROUND(181.78*(1+AB6)*(1+AB5)+AB7,2)</f>
        <v>0</v>
      </c>
      <c r="BA59" s="4" t="str">
        <f>ROUND(188.73*(1+AB6)*(1+AB5)+AB7,2)</f>
        <v>0</v>
      </c>
      <c r="BB59" s="4" t="str">
        <f>ROUND(195.68*(1+AB6)*(1+AB5)+AB7,2)</f>
        <v>0</v>
      </c>
      <c r="BC59" s="4"/>
      <c r="BD59" s="4"/>
    </row>
    <row r="60" spans="1:56">
      <c r="A60" s="4"/>
      <c r="B60" s="6"/>
      <c r="C60" s="10">
        <v>1700</v>
      </c>
      <c r="D60" s="4">
        <v>54.81</v>
      </c>
      <c r="E60" s="4">
        <v>61.91</v>
      </c>
      <c r="F60" s="4">
        <v>69.01</v>
      </c>
      <c r="G60" s="4">
        <v>76.1</v>
      </c>
      <c r="H60" s="4">
        <v>83.21</v>
      </c>
      <c r="I60" s="4">
        <v>90.32</v>
      </c>
      <c r="J60" s="4">
        <v>97.4</v>
      </c>
      <c r="K60" s="4">
        <v>104.49</v>
      </c>
      <c r="L60" s="4">
        <v>112.42</v>
      </c>
      <c r="M60" s="4">
        <v>119.52</v>
      </c>
      <c r="N60" s="4">
        <v>126.59</v>
      </c>
      <c r="O60" s="4">
        <v>133.69</v>
      </c>
      <c r="P60" s="4">
        <v>140.82</v>
      </c>
      <c r="Q60" s="4">
        <v>148.69</v>
      </c>
      <c r="R60" s="4">
        <v>155.8</v>
      </c>
      <c r="S60" s="4">
        <v>162.89</v>
      </c>
      <c r="T60" s="4">
        <v>170.01</v>
      </c>
      <c r="U60" s="4">
        <v>177.1</v>
      </c>
      <c r="V60" s="4">
        <v>184.99</v>
      </c>
      <c r="W60" s="4">
        <v>192.11</v>
      </c>
      <c r="X60" s="4">
        <v>199.2</v>
      </c>
      <c r="Y60" s="4"/>
      <c r="Z60" s="4"/>
      <c r="AA60" s="4"/>
      <c r="AB60" s="4"/>
      <c r="AC60" s="4"/>
      <c r="AD60" s="4"/>
      <c r="AE60" s="5"/>
      <c r="AF60" s="6"/>
      <c r="AG60" s="10">
        <v>1700</v>
      </c>
      <c r="AH60" s="4" t="str">
        <f>ROUND(54.81*(1+AB6)*(1+AB5)+AB7,2)</f>
        <v>0</v>
      </c>
      <c r="AI60" s="4" t="str">
        <f>ROUND(61.91*(1+AB6)*(1+AB5)+AB7,2)</f>
        <v>0</v>
      </c>
      <c r="AJ60" s="4" t="str">
        <f>ROUND(69.01*(1+AB6)*(1+AB5)+AB7,2)</f>
        <v>0</v>
      </c>
      <c r="AK60" s="4" t="str">
        <f>ROUND(76.1*(1+AB6)*(1+AB5)+AB7,2)</f>
        <v>0</v>
      </c>
      <c r="AL60" s="4" t="str">
        <f>ROUND(83.21*(1+AB6)*(1+AB5)+AB7,2)</f>
        <v>0</v>
      </c>
      <c r="AM60" s="4" t="str">
        <f>ROUND(90.32*(1+AB6)*(1+AB5)+AB7,2)</f>
        <v>0</v>
      </c>
      <c r="AN60" s="4" t="str">
        <f>ROUND(97.4*(1+AB6)*(1+AB5)+AB7,2)</f>
        <v>0</v>
      </c>
      <c r="AO60" s="4" t="str">
        <f>ROUND(104.49*(1+AB6)*(1+AB5)+AB7,2)</f>
        <v>0</v>
      </c>
      <c r="AP60" s="4" t="str">
        <f>ROUND(112.42*(1+AB6)*(1+AB5)+AB7,2)</f>
        <v>0</v>
      </c>
      <c r="AQ60" s="4" t="str">
        <f>ROUND(119.52*(1+AB6)*(1+AB5)+AB7,2)</f>
        <v>0</v>
      </c>
      <c r="AR60" s="4" t="str">
        <f>ROUND(126.59*(1+AB6)*(1+AB5)+AB7,2)</f>
        <v>0</v>
      </c>
      <c r="AS60" s="4" t="str">
        <f>ROUND(133.69*(1+AB6)*(1+AB5)+AB7,2)</f>
        <v>0</v>
      </c>
      <c r="AT60" s="4" t="str">
        <f>ROUND(140.82*(1+AB6)*(1+AB5)+AB7,2)</f>
        <v>0</v>
      </c>
      <c r="AU60" s="4" t="str">
        <f>ROUND(148.69*(1+AB6)*(1+AB5)+AB7,2)</f>
        <v>0</v>
      </c>
      <c r="AV60" s="4" t="str">
        <f>ROUND(155.8*(1+AB6)*(1+AB5)+AB7,2)</f>
        <v>0</v>
      </c>
      <c r="AW60" s="4" t="str">
        <f>ROUND(162.89*(1+AB6)*(1+AB5)+AB7,2)</f>
        <v>0</v>
      </c>
      <c r="AX60" s="4" t="str">
        <f>ROUND(170.01*(1+AB6)*(1+AB5)+AB7,2)</f>
        <v>0</v>
      </c>
      <c r="AY60" s="4" t="str">
        <f>ROUND(177.1*(1+AB6)*(1+AB5)+AB7,2)</f>
        <v>0</v>
      </c>
      <c r="AZ60" s="4" t="str">
        <f>ROUND(184.99*(1+AB6)*(1+AB5)+AB7,2)</f>
        <v>0</v>
      </c>
      <c r="BA60" s="4" t="str">
        <f>ROUND(192.11*(1+AB6)*(1+AB5)+AB7,2)</f>
        <v>0</v>
      </c>
      <c r="BB60" s="4" t="str">
        <f>ROUND(199.2*(1+AB6)*(1+AB5)+AB7,2)</f>
        <v>0</v>
      </c>
      <c r="BC60" s="4"/>
      <c r="BD60" s="4"/>
    </row>
    <row r="61" spans="1:56">
      <c r="A61" s="4"/>
      <c r="B61" s="6"/>
      <c r="C61" s="10">
        <v>1800</v>
      </c>
      <c r="D61" s="4">
        <v>55.35</v>
      </c>
      <c r="E61" s="4">
        <v>62.59</v>
      </c>
      <c r="F61" s="4">
        <v>69.84</v>
      </c>
      <c r="G61" s="4">
        <v>77.1</v>
      </c>
      <c r="H61" s="4">
        <v>84.33</v>
      </c>
      <c r="I61" s="4">
        <v>91.58</v>
      </c>
      <c r="J61" s="4">
        <v>98.85</v>
      </c>
      <c r="K61" s="4">
        <v>106.07</v>
      </c>
      <c r="L61" s="4">
        <v>114.15</v>
      </c>
      <c r="M61" s="4">
        <v>121.39</v>
      </c>
      <c r="N61" s="4">
        <v>128.63</v>
      </c>
      <c r="O61" s="4">
        <v>135.89</v>
      </c>
      <c r="P61" s="4">
        <v>143.12</v>
      </c>
      <c r="Q61" s="4">
        <v>151.18</v>
      </c>
      <c r="R61" s="4">
        <v>158.44</v>
      </c>
      <c r="S61" s="4">
        <v>165.66</v>
      </c>
      <c r="T61" s="4">
        <v>172.93</v>
      </c>
      <c r="U61" s="4">
        <v>180.19</v>
      </c>
      <c r="V61" s="4">
        <v>188.23</v>
      </c>
      <c r="W61" s="4">
        <v>195.48</v>
      </c>
      <c r="X61" s="4">
        <v>202.74</v>
      </c>
      <c r="Y61" s="4"/>
      <c r="Z61" s="4"/>
      <c r="AA61" s="4"/>
      <c r="AB61" s="4"/>
      <c r="AC61" s="4"/>
      <c r="AD61" s="4"/>
      <c r="AE61" s="5"/>
      <c r="AF61" s="6"/>
      <c r="AG61" s="10">
        <v>1800</v>
      </c>
      <c r="AH61" s="4" t="str">
        <f>ROUND(55.35*(1+AB6)*(1+AB5)+AB7,2)</f>
        <v>0</v>
      </c>
      <c r="AI61" s="4" t="str">
        <f>ROUND(62.59*(1+AB6)*(1+AB5)+AB7,2)</f>
        <v>0</v>
      </c>
      <c r="AJ61" s="4" t="str">
        <f>ROUND(69.84*(1+AB6)*(1+AB5)+AB7,2)</f>
        <v>0</v>
      </c>
      <c r="AK61" s="4" t="str">
        <f>ROUND(77.1*(1+AB6)*(1+AB5)+AB7,2)</f>
        <v>0</v>
      </c>
      <c r="AL61" s="4" t="str">
        <f>ROUND(84.33*(1+AB6)*(1+AB5)+AB7,2)</f>
        <v>0</v>
      </c>
      <c r="AM61" s="4" t="str">
        <f>ROUND(91.58*(1+AB6)*(1+AB5)+AB7,2)</f>
        <v>0</v>
      </c>
      <c r="AN61" s="4" t="str">
        <f>ROUND(98.85*(1+AB6)*(1+AB5)+AB7,2)</f>
        <v>0</v>
      </c>
      <c r="AO61" s="4" t="str">
        <f>ROUND(106.07*(1+AB6)*(1+AB5)+AB7,2)</f>
        <v>0</v>
      </c>
      <c r="AP61" s="4" t="str">
        <f>ROUND(114.15*(1+AB6)*(1+AB5)+AB7,2)</f>
        <v>0</v>
      </c>
      <c r="AQ61" s="4" t="str">
        <f>ROUND(121.39*(1+AB6)*(1+AB5)+AB7,2)</f>
        <v>0</v>
      </c>
      <c r="AR61" s="4" t="str">
        <f>ROUND(128.63*(1+AB6)*(1+AB5)+AB7,2)</f>
        <v>0</v>
      </c>
      <c r="AS61" s="4" t="str">
        <f>ROUND(135.89*(1+AB6)*(1+AB5)+AB7,2)</f>
        <v>0</v>
      </c>
      <c r="AT61" s="4" t="str">
        <f>ROUND(143.12*(1+AB6)*(1+AB5)+AB7,2)</f>
        <v>0</v>
      </c>
      <c r="AU61" s="4" t="str">
        <f>ROUND(151.18*(1+AB6)*(1+AB5)+AB7,2)</f>
        <v>0</v>
      </c>
      <c r="AV61" s="4" t="str">
        <f>ROUND(158.44*(1+AB6)*(1+AB5)+AB7,2)</f>
        <v>0</v>
      </c>
      <c r="AW61" s="4" t="str">
        <f>ROUND(165.66*(1+AB6)*(1+AB5)+AB7,2)</f>
        <v>0</v>
      </c>
      <c r="AX61" s="4" t="str">
        <f>ROUND(172.93*(1+AB6)*(1+AB5)+AB7,2)</f>
        <v>0</v>
      </c>
      <c r="AY61" s="4" t="str">
        <f>ROUND(180.19*(1+AB6)*(1+AB5)+AB7,2)</f>
        <v>0</v>
      </c>
      <c r="AZ61" s="4" t="str">
        <f>ROUND(188.23*(1+AB6)*(1+AB5)+AB7,2)</f>
        <v>0</v>
      </c>
      <c r="BA61" s="4" t="str">
        <f>ROUND(195.48*(1+AB6)*(1+AB5)+AB7,2)</f>
        <v>0</v>
      </c>
      <c r="BB61" s="4" t="str">
        <f>ROUND(202.74*(1+AB6)*(1+AB5)+AB7,2)</f>
        <v>0</v>
      </c>
      <c r="BC61" s="4"/>
      <c r="BD61" s="4"/>
    </row>
    <row r="62" spans="1:56">
      <c r="A62" s="4"/>
      <c r="B62" s="6"/>
      <c r="C62" s="10">
        <v>1900</v>
      </c>
      <c r="D62" s="4">
        <v>55.88</v>
      </c>
      <c r="E62" s="4">
        <v>63.28</v>
      </c>
      <c r="F62" s="4">
        <v>70.67</v>
      </c>
      <c r="G62" s="4">
        <v>78.07</v>
      </c>
      <c r="H62" s="4">
        <v>85.48</v>
      </c>
      <c r="I62" s="4">
        <v>92.88</v>
      </c>
      <c r="J62" s="4">
        <v>100.26</v>
      </c>
      <c r="K62" s="4">
        <v>107.61</v>
      </c>
      <c r="L62" s="4">
        <v>115.86</v>
      </c>
      <c r="M62" s="4">
        <v>123.27</v>
      </c>
      <c r="N62" s="4">
        <v>130.66</v>
      </c>
      <c r="O62" s="4">
        <v>138.07</v>
      </c>
      <c r="P62" s="4">
        <v>145.46</v>
      </c>
      <c r="Q62" s="4">
        <v>153.65</v>
      </c>
      <c r="R62" s="4">
        <v>161.04</v>
      </c>
      <c r="S62" s="4">
        <v>168.45</v>
      </c>
      <c r="T62" s="4">
        <v>175.9</v>
      </c>
      <c r="U62" s="4">
        <v>183.24</v>
      </c>
      <c r="V62" s="4">
        <v>191.47</v>
      </c>
      <c r="W62" s="4">
        <v>198.89</v>
      </c>
      <c r="X62" s="4">
        <v>206.26</v>
      </c>
      <c r="Y62" s="4"/>
      <c r="Z62" s="4"/>
      <c r="AA62" s="4"/>
      <c r="AB62" s="4"/>
      <c r="AC62" s="4"/>
      <c r="AD62" s="4"/>
      <c r="AE62" s="5"/>
      <c r="AF62" s="6"/>
      <c r="AG62" s="10">
        <v>1900</v>
      </c>
      <c r="AH62" s="4" t="str">
        <f>ROUND(55.88*(1+AB6)*(1+AB5)+AB7,2)</f>
        <v>0</v>
      </c>
      <c r="AI62" s="4" t="str">
        <f>ROUND(63.28*(1+AB6)*(1+AB5)+AB7,2)</f>
        <v>0</v>
      </c>
      <c r="AJ62" s="4" t="str">
        <f>ROUND(70.67*(1+AB6)*(1+AB5)+AB7,2)</f>
        <v>0</v>
      </c>
      <c r="AK62" s="4" t="str">
        <f>ROUND(78.07*(1+AB6)*(1+AB5)+AB7,2)</f>
        <v>0</v>
      </c>
      <c r="AL62" s="4" t="str">
        <f>ROUND(85.48*(1+AB6)*(1+AB5)+AB7,2)</f>
        <v>0</v>
      </c>
      <c r="AM62" s="4" t="str">
        <f>ROUND(92.88*(1+AB6)*(1+AB5)+AB7,2)</f>
        <v>0</v>
      </c>
      <c r="AN62" s="4" t="str">
        <f>ROUND(100.26*(1+AB6)*(1+AB5)+AB7,2)</f>
        <v>0</v>
      </c>
      <c r="AO62" s="4" t="str">
        <f>ROUND(107.61*(1+AB6)*(1+AB5)+AB7,2)</f>
        <v>0</v>
      </c>
      <c r="AP62" s="4" t="str">
        <f>ROUND(115.86*(1+AB6)*(1+AB5)+AB7,2)</f>
        <v>0</v>
      </c>
      <c r="AQ62" s="4" t="str">
        <f>ROUND(123.27*(1+AB6)*(1+AB5)+AB7,2)</f>
        <v>0</v>
      </c>
      <c r="AR62" s="4" t="str">
        <f>ROUND(130.66*(1+AB6)*(1+AB5)+AB7,2)</f>
        <v>0</v>
      </c>
      <c r="AS62" s="4" t="str">
        <f>ROUND(138.07*(1+AB6)*(1+AB5)+AB7,2)</f>
        <v>0</v>
      </c>
      <c r="AT62" s="4" t="str">
        <f>ROUND(145.46*(1+AB6)*(1+AB5)+AB7,2)</f>
        <v>0</v>
      </c>
      <c r="AU62" s="4" t="str">
        <f>ROUND(153.65*(1+AB6)*(1+AB5)+AB7,2)</f>
        <v>0</v>
      </c>
      <c r="AV62" s="4" t="str">
        <f>ROUND(161.04*(1+AB6)*(1+AB5)+AB7,2)</f>
        <v>0</v>
      </c>
      <c r="AW62" s="4" t="str">
        <f>ROUND(168.45*(1+AB6)*(1+AB5)+AB7,2)</f>
        <v>0</v>
      </c>
      <c r="AX62" s="4" t="str">
        <f>ROUND(175.9*(1+AB6)*(1+AB5)+AB7,2)</f>
        <v>0</v>
      </c>
      <c r="AY62" s="4" t="str">
        <f>ROUND(183.24*(1+AB6)*(1+AB5)+AB7,2)</f>
        <v>0</v>
      </c>
      <c r="AZ62" s="4" t="str">
        <f>ROUND(191.47*(1+AB6)*(1+AB5)+AB7,2)</f>
        <v>0</v>
      </c>
      <c r="BA62" s="4" t="str">
        <f>ROUND(198.89*(1+AB6)*(1+AB5)+AB7,2)</f>
        <v>0</v>
      </c>
      <c r="BB62" s="4" t="str">
        <f>ROUND(206.26*(1+AB6)*(1+AB5)+AB7,2)</f>
        <v>0</v>
      </c>
      <c r="BC62" s="4"/>
      <c r="BD62" s="4"/>
    </row>
    <row r="63" spans="1:56">
      <c r="A63" s="4"/>
      <c r="B63" s="6"/>
      <c r="C63" s="10">
        <v>2000</v>
      </c>
      <c r="D63" s="4">
        <v>56.41</v>
      </c>
      <c r="E63" s="4">
        <v>63.95</v>
      </c>
      <c r="F63" s="4">
        <v>71.51</v>
      </c>
      <c r="G63" s="4">
        <v>79.03</v>
      </c>
      <c r="H63" s="4">
        <v>86.61</v>
      </c>
      <c r="I63" s="4">
        <v>94.15</v>
      </c>
      <c r="J63" s="4">
        <v>101.67</v>
      </c>
      <c r="K63" s="4">
        <v>109.24</v>
      </c>
      <c r="L63" s="4">
        <v>117.6</v>
      </c>
      <c r="M63" s="4">
        <v>125.15</v>
      </c>
      <c r="N63" s="4">
        <v>132.68</v>
      </c>
      <c r="O63" s="4">
        <v>140.26</v>
      </c>
      <c r="P63" s="4">
        <v>147.8</v>
      </c>
      <c r="Q63" s="4">
        <v>156.16</v>
      </c>
      <c r="R63" s="4">
        <v>163.7</v>
      </c>
      <c r="S63" s="4">
        <v>171.22</v>
      </c>
      <c r="T63" s="4">
        <v>178.79</v>
      </c>
      <c r="U63" s="4">
        <v>186.34</v>
      </c>
      <c r="V63" s="4">
        <v>194.7</v>
      </c>
      <c r="W63" s="4">
        <v>202.23</v>
      </c>
      <c r="X63" s="4">
        <v>209.81</v>
      </c>
      <c r="Y63" s="4"/>
      <c r="Z63" s="4"/>
      <c r="AA63" s="4"/>
      <c r="AB63" s="4"/>
      <c r="AC63" s="4"/>
      <c r="AD63" s="4"/>
      <c r="AE63" s="5"/>
      <c r="AF63" s="6"/>
      <c r="AG63" s="10">
        <v>2000</v>
      </c>
      <c r="AH63" s="4" t="str">
        <f>ROUND(56.41*(1+AB6)*(1+AB5)+AB7,2)</f>
        <v>0</v>
      </c>
      <c r="AI63" s="4" t="str">
        <f>ROUND(63.95*(1+AB6)*(1+AB5)+AB7,2)</f>
        <v>0</v>
      </c>
      <c r="AJ63" s="4" t="str">
        <f>ROUND(71.51*(1+AB6)*(1+AB5)+AB7,2)</f>
        <v>0</v>
      </c>
      <c r="AK63" s="4" t="str">
        <f>ROUND(79.03*(1+AB6)*(1+AB5)+AB7,2)</f>
        <v>0</v>
      </c>
      <c r="AL63" s="4" t="str">
        <f>ROUND(86.61*(1+AB6)*(1+AB5)+AB7,2)</f>
        <v>0</v>
      </c>
      <c r="AM63" s="4" t="str">
        <f>ROUND(94.15*(1+AB6)*(1+AB5)+AB7,2)</f>
        <v>0</v>
      </c>
      <c r="AN63" s="4" t="str">
        <f>ROUND(101.67*(1+AB6)*(1+AB5)+AB7,2)</f>
        <v>0</v>
      </c>
      <c r="AO63" s="4" t="str">
        <f>ROUND(109.24*(1+AB6)*(1+AB5)+AB7,2)</f>
        <v>0</v>
      </c>
      <c r="AP63" s="4" t="str">
        <f>ROUND(117.6*(1+AB6)*(1+AB5)+AB7,2)</f>
        <v>0</v>
      </c>
      <c r="AQ63" s="4" t="str">
        <f>ROUND(125.15*(1+AB6)*(1+AB5)+AB7,2)</f>
        <v>0</v>
      </c>
      <c r="AR63" s="4" t="str">
        <f>ROUND(132.68*(1+AB6)*(1+AB5)+AB7,2)</f>
        <v>0</v>
      </c>
      <c r="AS63" s="4" t="str">
        <f>ROUND(140.26*(1+AB6)*(1+AB5)+AB7,2)</f>
        <v>0</v>
      </c>
      <c r="AT63" s="4" t="str">
        <f>ROUND(147.8*(1+AB6)*(1+AB5)+AB7,2)</f>
        <v>0</v>
      </c>
      <c r="AU63" s="4" t="str">
        <f>ROUND(156.16*(1+AB6)*(1+AB5)+AB7,2)</f>
        <v>0</v>
      </c>
      <c r="AV63" s="4" t="str">
        <f>ROUND(163.7*(1+AB6)*(1+AB5)+AB7,2)</f>
        <v>0</v>
      </c>
      <c r="AW63" s="4" t="str">
        <f>ROUND(171.22*(1+AB6)*(1+AB5)+AB7,2)</f>
        <v>0</v>
      </c>
      <c r="AX63" s="4" t="str">
        <f>ROUND(178.79*(1+AB6)*(1+AB5)+AB7,2)</f>
        <v>0</v>
      </c>
      <c r="AY63" s="4" t="str">
        <f>ROUND(186.34*(1+AB6)*(1+AB5)+AB7,2)</f>
        <v>0</v>
      </c>
      <c r="AZ63" s="4" t="str">
        <f>ROUND(194.7*(1+AB6)*(1+AB5)+AB7,2)</f>
        <v>0</v>
      </c>
      <c r="BA63" s="4" t="str">
        <f>ROUND(202.23*(1+AB6)*(1+AB5)+AB7,2)</f>
        <v>0</v>
      </c>
      <c r="BB63" s="4" t="str">
        <f>ROUND(209.81*(1+AB6)*(1+AB5)+AB7,2)</f>
        <v>0</v>
      </c>
      <c r="BC63" s="4"/>
      <c r="BD63" s="4"/>
    </row>
    <row r="64" spans="1:56">
      <c r="A64" s="4"/>
      <c r="B64" s="6"/>
      <c r="C64" s="10">
        <v>2100</v>
      </c>
      <c r="D64" s="4">
        <v>56.94</v>
      </c>
      <c r="E64" s="4">
        <v>64.64</v>
      </c>
      <c r="F64" s="4">
        <v>72.35</v>
      </c>
      <c r="G64" s="4">
        <v>80.02</v>
      </c>
      <c r="H64" s="4">
        <v>87.74</v>
      </c>
      <c r="I64" s="4">
        <v>95.43</v>
      </c>
      <c r="J64" s="4">
        <v>103.13</v>
      </c>
      <c r="K64" s="4">
        <v>110.84</v>
      </c>
      <c r="L64" s="4">
        <v>119.33</v>
      </c>
      <c r="M64" s="4">
        <v>127</v>
      </c>
      <c r="N64" s="4">
        <v>134.71</v>
      </c>
      <c r="O64" s="4">
        <v>142.43</v>
      </c>
      <c r="P64" s="4">
        <v>150.12</v>
      </c>
      <c r="Q64" s="4">
        <v>158.63</v>
      </c>
      <c r="R64" s="4">
        <v>166.35</v>
      </c>
      <c r="S64" s="4">
        <v>174.02</v>
      </c>
      <c r="T64" s="4">
        <v>181.73</v>
      </c>
      <c r="U64" s="4">
        <v>189.41</v>
      </c>
      <c r="V64" s="4">
        <v>197.92</v>
      </c>
      <c r="W64" s="4">
        <v>205.64</v>
      </c>
      <c r="X64" s="4">
        <v>213.34</v>
      </c>
      <c r="Y64" s="4"/>
      <c r="Z64" s="4"/>
      <c r="AA64" s="4"/>
      <c r="AB64" s="4"/>
      <c r="AC64" s="4"/>
      <c r="AD64" s="4"/>
      <c r="AE64" s="5"/>
      <c r="AF64" s="6"/>
      <c r="AG64" s="10">
        <v>2100</v>
      </c>
      <c r="AH64" s="4" t="str">
        <f>ROUND(56.94*(1+AB6)*(1+AB5)+AB7,2)</f>
        <v>0</v>
      </c>
      <c r="AI64" s="4" t="str">
        <f>ROUND(64.64*(1+AB6)*(1+AB5)+AB7,2)</f>
        <v>0</v>
      </c>
      <c r="AJ64" s="4" t="str">
        <f>ROUND(72.35*(1+AB6)*(1+AB5)+AB7,2)</f>
        <v>0</v>
      </c>
      <c r="AK64" s="4" t="str">
        <f>ROUND(80.02*(1+AB6)*(1+AB5)+AB7,2)</f>
        <v>0</v>
      </c>
      <c r="AL64" s="4" t="str">
        <f>ROUND(87.74*(1+AB6)*(1+AB5)+AB7,2)</f>
        <v>0</v>
      </c>
      <c r="AM64" s="4" t="str">
        <f>ROUND(95.43*(1+AB6)*(1+AB5)+AB7,2)</f>
        <v>0</v>
      </c>
      <c r="AN64" s="4" t="str">
        <f>ROUND(103.13*(1+AB6)*(1+AB5)+AB7,2)</f>
        <v>0</v>
      </c>
      <c r="AO64" s="4" t="str">
        <f>ROUND(110.84*(1+AB6)*(1+AB5)+AB7,2)</f>
        <v>0</v>
      </c>
      <c r="AP64" s="4" t="str">
        <f>ROUND(119.33*(1+AB6)*(1+AB5)+AB7,2)</f>
        <v>0</v>
      </c>
      <c r="AQ64" s="4" t="str">
        <f>ROUND(127*(1+AB6)*(1+AB5)+AB7,2)</f>
        <v>0</v>
      </c>
      <c r="AR64" s="4" t="str">
        <f>ROUND(134.71*(1+AB6)*(1+AB5)+AB7,2)</f>
        <v>0</v>
      </c>
      <c r="AS64" s="4" t="str">
        <f>ROUND(142.43*(1+AB6)*(1+AB5)+AB7,2)</f>
        <v>0</v>
      </c>
      <c r="AT64" s="4" t="str">
        <f>ROUND(150.12*(1+AB6)*(1+AB5)+AB7,2)</f>
        <v>0</v>
      </c>
      <c r="AU64" s="4" t="str">
        <f>ROUND(158.63*(1+AB6)*(1+AB5)+AB7,2)</f>
        <v>0</v>
      </c>
      <c r="AV64" s="4" t="str">
        <f>ROUND(166.35*(1+AB6)*(1+AB5)+AB7,2)</f>
        <v>0</v>
      </c>
      <c r="AW64" s="4" t="str">
        <f>ROUND(174.02*(1+AB6)*(1+AB5)+AB7,2)</f>
        <v>0</v>
      </c>
      <c r="AX64" s="4" t="str">
        <f>ROUND(181.73*(1+AB6)*(1+AB5)+AB7,2)</f>
        <v>0</v>
      </c>
      <c r="AY64" s="4" t="str">
        <f>ROUND(189.41*(1+AB6)*(1+AB5)+AB7,2)</f>
        <v>0</v>
      </c>
      <c r="AZ64" s="4" t="str">
        <f>ROUND(197.92*(1+AB6)*(1+AB5)+AB7,2)</f>
        <v>0</v>
      </c>
      <c r="BA64" s="4" t="str">
        <f>ROUND(205.64*(1+AB6)*(1+AB5)+AB7,2)</f>
        <v>0</v>
      </c>
      <c r="BB64" s="4" t="str">
        <f>ROUND(213.34*(1+AB6)*(1+AB5)+AB7,2)</f>
        <v>0</v>
      </c>
      <c r="BC64" s="4"/>
      <c r="BD64" s="4"/>
    </row>
    <row r="65" spans="1:56">
      <c r="A65" s="4"/>
      <c r="B65" s="6"/>
      <c r="C65" s="10">
        <v>2200</v>
      </c>
      <c r="D65" s="4">
        <v>57.45</v>
      </c>
      <c r="E65" s="4">
        <v>65.32</v>
      </c>
      <c r="F65" s="4">
        <v>73.15</v>
      </c>
      <c r="G65" s="4">
        <v>81.02</v>
      </c>
      <c r="H65" s="4">
        <v>88.86</v>
      </c>
      <c r="I65" s="4">
        <v>96.71</v>
      </c>
      <c r="J65" s="4">
        <v>104.71</v>
      </c>
      <c r="K65" s="4">
        <v>112.39</v>
      </c>
      <c r="L65" s="4">
        <v>121.06</v>
      </c>
      <c r="M65" s="4">
        <v>128.92</v>
      </c>
      <c r="N65" s="4">
        <v>136.76</v>
      </c>
      <c r="O65" s="4">
        <v>144.6</v>
      </c>
      <c r="P65" s="4">
        <v>152.45</v>
      </c>
      <c r="Q65" s="4">
        <v>161.12</v>
      </c>
      <c r="R65" s="4">
        <v>168.95</v>
      </c>
      <c r="S65" s="4">
        <v>176.83</v>
      </c>
      <c r="T65" s="4">
        <v>184.66</v>
      </c>
      <c r="U65" s="4">
        <v>192.5</v>
      </c>
      <c r="V65" s="4">
        <v>201.16</v>
      </c>
      <c r="W65" s="4">
        <v>209.02</v>
      </c>
      <c r="X65" s="4">
        <v>216.86</v>
      </c>
      <c r="Y65" s="4"/>
      <c r="Z65" s="4"/>
      <c r="AA65" s="4"/>
      <c r="AB65" s="4"/>
      <c r="AC65" s="4"/>
      <c r="AD65" s="4"/>
      <c r="AE65" s="5"/>
      <c r="AF65" s="6"/>
      <c r="AG65" s="10">
        <v>2200</v>
      </c>
      <c r="AH65" s="4" t="str">
        <f>ROUND(57.45*(1+AB6)*(1+AB5)+AB7,2)</f>
        <v>0</v>
      </c>
      <c r="AI65" s="4" t="str">
        <f>ROUND(65.32*(1+AB6)*(1+AB5)+AB7,2)</f>
        <v>0</v>
      </c>
      <c r="AJ65" s="4" t="str">
        <f>ROUND(73.15*(1+AB6)*(1+AB5)+AB7,2)</f>
        <v>0</v>
      </c>
      <c r="AK65" s="4" t="str">
        <f>ROUND(81.02*(1+AB6)*(1+AB5)+AB7,2)</f>
        <v>0</v>
      </c>
      <c r="AL65" s="4" t="str">
        <f>ROUND(88.86*(1+AB6)*(1+AB5)+AB7,2)</f>
        <v>0</v>
      </c>
      <c r="AM65" s="4" t="str">
        <f>ROUND(96.71*(1+AB6)*(1+AB5)+AB7,2)</f>
        <v>0</v>
      </c>
      <c r="AN65" s="4" t="str">
        <f>ROUND(104.71*(1+AB6)*(1+AB5)+AB7,2)</f>
        <v>0</v>
      </c>
      <c r="AO65" s="4" t="str">
        <f>ROUND(112.39*(1+AB6)*(1+AB5)+AB7,2)</f>
        <v>0</v>
      </c>
      <c r="AP65" s="4" t="str">
        <f>ROUND(121.06*(1+AB6)*(1+AB5)+AB7,2)</f>
        <v>0</v>
      </c>
      <c r="AQ65" s="4" t="str">
        <f>ROUND(128.92*(1+AB6)*(1+AB5)+AB7,2)</f>
        <v>0</v>
      </c>
      <c r="AR65" s="4" t="str">
        <f>ROUND(136.76*(1+AB6)*(1+AB5)+AB7,2)</f>
        <v>0</v>
      </c>
      <c r="AS65" s="4" t="str">
        <f>ROUND(144.6*(1+AB6)*(1+AB5)+AB7,2)</f>
        <v>0</v>
      </c>
      <c r="AT65" s="4" t="str">
        <f>ROUND(152.45*(1+AB6)*(1+AB5)+AB7,2)</f>
        <v>0</v>
      </c>
      <c r="AU65" s="4" t="str">
        <f>ROUND(161.12*(1+AB6)*(1+AB5)+AB7,2)</f>
        <v>0</v>
      </c>
      <c r="AV65" s="4" t="str">
        <f>ROUND(168.95*(1+AB6)*(1+AB5)+AB7,2)</f>
        <v>0</v>
      </c>
      <c r="AW65" s="4" t="str">
        <f>ROUND(176.83*(1+AB6)*(1+AB5)+AB7,2)</f>
        <v>0</v>
      </c>
      <c r="AX65" s="4" t="str">
        <f>ROUND(184.66*(1+AB6)*(1+AB5)+AB7,2)</f>
        <v>0</v>
      </c>
      <c r="AY65" s="4" t="str">
        <f>ROUND(192.5*(1+AB6)*(1+AB5)+AB7,2)</f>
        <v>0</v>
      </c>
      <c r="AZ65" s="4" t="str">
        <f>ROUND(201.16*(1+AB6)*(1+AB5)+AB7,2)</f>
        <v>0</v>
      </c>
      <c r="BA65" s="4" t="str">
        <f>ROUND(209.02*(1+AB6)*(1+AB5)+AB7,2)</f>
        <v>0</v>
      </c>
      <c r="BB65" s="4" t="str">
        <f>ROUND(216.86*(1+AB6)*(1+AB5)+AB7,2)</f>
        <v>0</v>
      </c>
      <c r="BC65" s="4"/>
      <c r="BD65" s="4"/>
    </row>
    <row r="66" spans="1:56">
      <c r="A66" s="4"/>
      <c r="B66" s="6"/>
      <c r="C66" s="10">
        <v>2300</v>
      </c>
      <c r="D66" s="4">
        <v>58.01</v>
      </c>
      <c r="E66" s="4">
        <v>66.01</v>
      </c>
      <c r="F66" s="4">
        <v>73.99</v>
      </c>
      <c r="G66" s="4">
        <v>82</v>
      </c>
      <c r="H66" s="4">
        <v>89.98</v>
      </c>
      <c r="I66" s="4">
        <v>97.99</v>
      </c>
      <c r="J66" s="4">
        <v>106</v>
      </c>
      <c r="K66" s="4">
        <v>113.99</v>
      </c>
      <c r="L66" s="4">
        <v>122.79</v>
      </c>
      <c r="M66" s="4">
        <v>130.81</v>
      </c>
      <c r="N66" s="4">
        <v>137.17</v>
      </c>
      <c r="O66" s="4">
        <v>146.8</v>
      </c>
      <c r="P66" s="4">
        <v>154.8</v>
      </c>
      <c r="Q66" s="4">
        <v>163.59</v>
      </c>
      <c r="R66" s="4">
        <v>171.59</v>
      </c>
      <c r="S66" s="4">
        <v>179.6</v>
      </c>
      <c r="T66" s="4">
        <v>187.58</v>
      </c>
      <c r="U66" s="4">
        <v>195.59</v>
      </c>
      <c r="V66" s="4">
        <v>204.42</v>
      </c>
      <c r="W66" s="4">
        <v>212.4</v>
      </c>
      <c r="X66" s="4">
        <v>220.4</v>
      </c>
      <c r="Y66" s="4"/>
      <c r="Z66" s="4"/>
      <c r="AA66" s="4"/>
      <c r="AB66" s="4"/>
      <c r="AC66" s="4"/>
      <c r="AD66" s="4"/>
      <c r="AE66" s="5"/>
      <c r="AF66" s="6"/>
      <c r="AG66" s="10">
        <v>2300</v>
      </c>
      <c r="AH66" s="4" t="str">
        <f>ROUND(58.01*(1+AB6)*(1+AB5)+AB7,2)</f>
        <v>0</v>
      </c>
      <c r="AI66" s="4" t="str">
        <f>ROUND(66.01*(1+AB6)*(1+AB5)+AB7,2)</f>
        <v>0</v>
      </c>
      <c r="AJ66" s="4" t="str">
        <f>ROUND(73.99*(1+AB6)*(1+AB5)+AB7,2)</f>
        <v>0</v>
      </c>
      <c r="AK66" s="4" t="str">
        <f>ROUND(82*(1+AB6)*(1+AB5)+AB7,2)</f>
        <v>0</v>
      </c>
      <c r="AL66" s="4" t="str">
        <f>ROUND(89.98*(1+AB6)*(1+AB5)+AB7,2)</f>
        <v>0</v>
      </c>
      <c r="AM66" s="4" t="str">
        <f>ROUND(97.99*(1+AB6)*(1+AB5)+AB7,2)</f>
        <v>0</v>
      </c>
      <c r="AN66" s="4" t="str">
        <f>ROUND(106*(1+AB6)*(1+AB5)+AB7,2)</f>
        <v>0</v>
      </c>
      <c r="AO66" s="4" t="str">
        <f>ROUND(113.99*(1+AB6)*(1+AB5)+AB7,2)</f>
        <v>0</v>
      </c>
      <c r="AP66" s="4" t="str">
        <f>ROUND(122.79*(1+AB6)*(1+AB5)+AB7,2)</f>
        <v>0</v>
      </c>
      <c r="AQ66" s="4" t="str">
        <f>ROUND(130.81*(1+AB6)*(1+AB5)+AB7,2)</f>
        <v>0</v>
      </c>
      <c r="AR66" s="4" t="str">
        <f>ROUND(137.17*(1+AB6)*(1+AB5)+AB7,2)</f>
        <v>0</v>
      </c>
      <c r="AS66" s="4" t="str">
        <f>ROUND(146.8*(1+AB6)*(1+AB5)+AB7,2)</f>
        <v>0</v>
      </c>
      <c r="AT66" s="4" t="str">
        <f>ROUND(154.8*(1+AB6)*(1+AB5)+AB7,2)</f>
        <v>0</v>
      </c>
      <c r="AU66" s="4" t="str">
        <f>ROUND(163.59*(1+AB6)*(1+AB5)+AB7,2)</f>
        <v>0</v>
      </c>
      <c r="AV66" s="4" t="str">
        <f>ROUND(171.59*(1+AB6)*(1+AB5)+AB7,2)</f>
        <v>0</v>
      </c>
      <c r="AW66" s="4" t="str">
        <f>ROUND(179.6*(1+AB6)*(1+AB5)+AB7,2)</f>
        <v>0</v>
      </c>
      <c r="AX66" s="4" t="str">
        <f>ROUND(187.58*(1+AB6)*(1+AB5)+AB7,2)</f>
        <v>0</v>
      </c>
      <c r="AY66" s="4" t="str">
        <f>ROUND(195.59*(1+AB6)*(1+AB5)+AB7,2)</f>
        <v>0</v>
      </c>
      <c r="AZ66" s="4" t="str">
        <f>ROUND(204.42*(1+AB6)*(1+AB5)+AB7,2)</f>
        <v>0</v>
      </c>
      <c r="BA66" s="4" t="str">
        <f>ROUND(212.4*(1+AB6)*(1+AB5)+AB7,2)</f>
        <v>0</v>
      </c>
      <c r="BB66" s="4" t="str">
        <f>ROUND(220.4*(1+AB6)*(1+AB5)+AB7,2)</f>
        <v>0</v>
      </c>
      <c r="BC66" s="4"/>
      <c r="BD66" s="4"/>
    </row>
    <row r="67" spans="1:5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 spans="1:5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 spans="1:5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</row>
    <row r="70" spans="1:5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</row>
    <row r="71" spans="1:5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 spans="1:5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 spans="1:5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 spans="1:5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 spans="1:5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</row>
    <row r="76" spans="1:5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</row>
    <row r="77" spans="1:5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 spans="1:5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 spans="1:5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 spans="1:5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</row>
    <row r="81" spans="1:5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</row>
    <row r="82" spans="1:5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</row>
    <row r="83" spans="1:5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</row>
    <row r="84" spans="1:5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</row>
    <row r="85" spans="1:5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</row>
    <row r="86" spans="1:5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</row>
    <row r="87" spans="1:5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</row>
    <row r="88" spans="1:5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</row>
    <row r="89" spans="1:5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</row>
    <row r="90" spans="1:5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</row>
    <row r="91" spans="1:5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</row>
    <row r="92" spans="1:5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</row>
    <row r="93" spans="1:5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</row>
    <row r="94" spans="1:5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</row>
    <row r="95" spans="1:5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</row>
    <row r="96" spans="1:5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</row>
    <row r="97" spans="1:5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</row>
    <row r="98" spans="1:5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 spans="1:5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</row>
    <row r="100" spans="1:5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</row>
    <row r="101" spans="1:5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 spans="1:5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</row>
    <row r="103" spans="1:5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 spans="1:5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</row>
    <row r="105" spans="1:5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</row>
    <row r="106" spans="1:5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</row>
    <row r="107" spans="1:5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</row>
    <row r="108" spans="1:5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</row>
    <row r="109" spans="1:5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</row>
    <row r="110" spans="1:5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 spans="1:5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</row>
  </sheetData>
  <mergeCells>
    <mergeCell ref="C8:X8"/>
    <mergeCell ref="Y8:AF8"/>
    <mergeCell ref="AG8:BB8"/>
    <mergeCell ref="C9:X9"/>
    <mergeCell ref="Y9:AE9"/>
    <mergeCell ref="AG9:BB9"/>
    <mergeCell ref="C11:X11"/>
    <mergeCell ref="Y11:AE11"/>
    <mergeCell ref="AG11:BB11"/>
    <mergeCell ref="C12:X12"/>
    <mergeCell ref="Y12:AE12"/>
    <mergeCell ref="AG12:BB12"/>
    <mergeCell ref="C13:X13"/>
    <mergeCell ref="Y13:AE13"/>
    <mergeCell ref="AG13:BB13"/>
    <mergeCell ref="Y14:AE14"/>
    <mergeCell ref="B15:B28"/>
    <mergeCell ref="Y15:AE15"/>
    <mergeCell ref="AF15:AF28"/>
    <mergeCell ref="Y16:AE16"/>
    <mergeCell ref="Y17:AE17"/>
    <mergeCell ref="Y18:AE18"/>
    <mergeCell ref="Y19:AE19"/>
    <mergeCell ref="Y20:AE20"/>
    <mergeCell ref="Y21:AE21"/>
    <mergeCell ref="Y22:AE22"/>
    <mergeCell ref="Y23:AE23"/>
    <mergeCell ref="Y24:AE24"/>
    <mergeCell ref="Y25:AE25"/>
    <mergeCell ref="Y26:AE26"/>
    <mergeCell ref="Y27:AE27"/>
    <mergeCell ref="Y28:AE28"/>
    <mergeCell ref="C30:X30"/>
    <mergeCell ref="Y30:AE30"/>
    <mergeCell ref="AG30:BB30"/>
    <mergeCell ref="C31:X31"/>
    <mergeCell ref="Y31:AE31"/>
    <mergeCell ref="AG31:BB31"/>
    <mergeCell ref="C32:X32"/>
    <mergeCell ref="Y32:AE32"/>
    <mergeCell ref="AG32:BB32"/>
    <mergeCell ref="Y33:AE33"/>
    <mergeCell ref="B34:B47"/>
    <mergeCell ref="Y34:AE34"/>
    <mergeCell ref="AF34:AF47"/>
    <mergeCell ref="Y35:AE35"/>
    <mergeCell ref="Y36:AE36"/>
    <mergeCell ref="Y37:AE37"/>
    <mergeCell ref="Y38:AE38"/>
    <mergeCell ref="Y39:AE39"/>
    <mergeCell ref="Y40:AE40"/>
    <mergeCell ref="Y41:AE41"/>
    <mergeCell ref="Y42:AE42"/>
    <mergeCell ref="Y43:AE43"/>
    <mergeCell ref="Y44:AE44"/>
    <mergeCell ref="Y45:AE45"/>
    <mergeCell ref="Y46:AE46"/>
    <mergeCell ref="Y47:AE47"/>
    <mergeCell ref="C49:X49"/>
    <mergeCell ref="Y49:AE49"/>
    <mergeCell ref="AG49:BB49"/>
    <mergeCell ref="C50:X50"/>
    <mergeCell ref="Y50:AE50"/>
    <mergeCell ref="AG50:BB50"/>
    <mergeCell ref="C51:X51"/>
    <mergeCell ref="Y51:AE51"/>
    <mergeCell ref="AG51:BB51"/>
    <mergeCell ref="Y52:AE52"/>
    <mergeCell ref="B53:B66"/>
    <mergeCell ref="Y53:AE53"/>
    <mergeCell ref="AF53:AF66"/>
    <mergeCell ref="Y54:AE54"/>
    <mergeCell ref="Y55:AE55"/>
    <mergeCell ref="Y56:AE56"/>
    <mergeCell ref="Y57:AE57"/>
    <mergeCell ref="Y58:AE58"/>
    <mergeCell ref="Y59:AE59"/>
    <mergeCell ref="Y60:AE60"/>
    <mergeCell ref="Y61:AE61"/>
    <mergeCell ref="Y62:AE62"/>
    <mergeCell ref="Y63:AE63"/>
    <mergeCell ref="Y64:AE64"/>
    <mergeCell ref="Y65:AE65"/>
    <mergeCell ref="Y66:AE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Prime Softshad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2026-07-07T15:12:52+00:00</dcterms:created>
  <dcterms:modified xsi:type="dcterms:W3CDTF">2026-07-07T15:12:52+00:00</dcterms:modified>
  <dc:title>Prime Softshade Price List</dc:title>
  <dc:description/>
  <dc:subject/>
  <cp:keywords/>
  <cp:category/>
</cp:coreProperties>
</file>