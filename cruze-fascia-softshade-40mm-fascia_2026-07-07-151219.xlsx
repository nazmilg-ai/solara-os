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Cruze Fascia 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<sst xmlns="http://schemas.openxmlformats.org/spreadsheetml/2006/main" uniqueCount="32">
  <si>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DISCOUNTED PRICE TABLES 2026</t>
  </si>
  <si>
    <t>Account Code:</t>
  </si>
  <si>
    <t>BLIN418</t>
  </si>
  <si>
    <t>Product</t>
  </si>
  <si>
    <t>Discount %</t>
  </si>
  <si>
    <t>Cruze Fascia Softshade - A</t>
  </si>
  <si>
    <t>35%</t>
  </si>
  <si>
    <t>Cruze Fascia Softshade - B</t>
  </si>
  <si>
    <t>Cruze Fascia Softshade - C</t>
  </si>
  <si>
    <t>Cruze Fascia Softshade - D</t>
  </si>
  <si>
    <t>Cruze Fascia Softshade - E</t>
  </si>
  <si>
    <t>Adjust the values above to update the suggested sell price tables.</t>
  </si>
  <si>
    <t>DISCOUNTED COST</t>
  </si>
  <si>
    <t>SUGGESTED SELL PRICE</t>
  </si>
  <si>
    <t>Cruze Fascia Softshade - Cruze Fascia Softshade 40mm Fascia - PRICE RANGE A</t>
  </si>
  <si>
    <t>Luna</t>
  </si>
  <si>
    <t>WIDTH</t>
  </si>
  <si>
    <t>(mm)</t>
  </si>
  <si>
    <t>DROP</t>
  </si>
  <si>
    <t>Cruze Fascia Softshade - Cruze Fascia Softshade 40mm Fascia - PRICE RANGE B</t>
  </si>
  <si>
    <t>Rift</t>
  </si>
  <si>
    <t>Cruze Fascia Softshade - Cruze Fascia Softshade 40mm Fascia - PRICE RANGE C</t>
  </si>
  <si>
    <t>Hoxton, Kanza, Nobis</t>
  </si>
  <si>
    <t>Cruze Fascia Softshade - Cruze Fascia Softshade 40mm Fascia - PRICE RANGE D</t>
  </si>
  <si>
    <t>Cruze Fascia Softshade - Cruze Fascia Softshade 40mm Fascia - PRICE RANGE E</t>
  </si>
  <si>
    <t>Mero, Tela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</si>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</sst>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center" textRotation="90" wrapText="false" shrinkToFit="false"/>
    </xf>
    <xf xfId="0" fontId="2" numFmtId="0" fillId="4" borderId="0" applyFont="1" applyNumberFormat="0" applyFill="1" applyBorder="0" applyAlignment="1">
      <alignment vertical="center" textRotation="9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B9" sqref="B9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3" t="s">
        <v>6</v>
      </c>
    </row>
    <row r="8" spans="1:2">
      <c r="A8" s="3" t="s">
        <v>9</v>
      </c>
      <c r="B8" s="3" t="s">
        <v>6</v>
      </c>
    </row>
    <row r="9" spans="1:2">
      <c r="A9" s="3" t="s">
        <v>10</v>
      </c>
      <c r="B9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39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29" max="29" width="28.279" bestFit="true" customWidth="true" style="0"/>
    <col min="30" max="30" width="11.711" bestFit="true" customWidth="true" style="0"/>
    <col min="33" max="33" width="4" customWidth="true" style="0"/>
    <col min="34" max="34" width="4" customWidth="true" style="0"/>
  </cols>
  <sheetData>
    <row r="1" spans="1:58">
      <c r="A1" s="11"/>
      <c r="B1" s="1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8">
      <c r="A2" s="11"/>
      <c r="B2" s="12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8">
      <c r="A3" s="1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58">
      <c r="A4" s="11"/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20" t="s">
        <v>1</v>
      </c>
      <c r="AD4" s="21" t="str">
        <f>Summary!$B$2</f>
        <v>0</v>
      </c>
      <c r="AE4" s="11"/>
      <c r="AF4" s="11"/>
      <c r="AG4" s="11"/>
      <c r="AH4" s="12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</row>
    <row r="5" spans="1:58">
      <c r="A5" s="11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20" t="s">
        <v>26</v>
      </c>
      <c r="AD5" s="22" t="s">
        <v>29</v>
      </c>
      <c r="AE5" s="11"/>
      <c r="AF5" s="11"/>
      <c r="AG5" s="11"/>
      <c r="AH5" s="12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</row>
    <row r="6" spans="1:58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20" t="s">
        <v>27</v>
      </c>
      <c r="AD6" s="22" t="s">
        <v>30</v>
      </c>
      <c r="AE6" s="11"/>
      <c r="AF6" s="11"/>
      <c r="AG6" s="11"/>
      <c r="AH6" s="12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8">
      <c r="A7" s="11"/>
      <c r="B7" s="12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20" t="s">
        <v>28</v>
      </c>
      <c r="AD7" s="21" t="s">
        <v>31</v>
      </c>
      <c r="AE7" s="11"/>
      <c r="AF7" s="11"/>
      <c r="AG7" s="11"/>
      <c r="AH7" s="12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8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9" t="s">
        <v>11</v>
      </c>
      <c r="AB8" s="19"/>
      <c r="AC8" s="19"/>
      <c r="AD8" s="19"/>
      <c r="AE8" s="19"/>
      <c r="AF8" s="19"/>
      <c r="AG8" s="23"/>
      <c r="AH8" s="23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</row>
    <row r="9" spans="1:58">
      <c r="A9" s="11"/>
      <c r="B9" s="12"/>
      <c r="C9" s="14" t="s">
        <v>12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1"/>
      <c r="AB9" s="11"/>
      <c r="AC9" s="11"/>
      <c r="AD9" s="11"/>
      <c r="AE9" s="11"/>
      <c r="AF9" s="11"/>
      <c r="AG9" s="12"/>
      <c r="AH9" s="12"/>
      <c r="AI9" s="14" t="s">
        <v>13</v>
      </c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4"/>
      <c r="BF9" s="4"/>
    </row>
    <row r="10" spans="1:58">
      <c r="A10" s="11"/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 spans="1:58">
      <c r="A11" s="11"/>
      <c r="B11" s="12"/>
      <c r="C11" s="15" t="s">
        <v>14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1"/>
      <c r="AB11" s="11"/>
      <c r="AC11" s="11"/>
      <c r="AD11" s="11"/>
      <c r="AE11" s="11"/>
      <c r="AF11" s="11"/>
      <c r="AG11" s="12"/>
      <c r="AH11" s="12"/>
      <c r="AI11" s="15" t="s">
        <v>14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6"/>
      <c r="BF11" s="6"/>
    </row>
    <row r="12" spans="1:58">
      <c r="A12" s="11"/>
      <c r="B12" s="12"/>
      <c r="C12" s="15" t="s">
        <v>15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1"/>
      <c r="AB12" s="11"/>
      <c r="AC12" s="11"/>
      <c r="AD12" s="11"/>
      <c r="AE12" s="11"/>
      <c r="AF12" s="11"/>
      <c r="AG12" s="12"/>
      <c r="AH12" s="12"/>
      <c r="AI12" s="15" t="s">
        <v>15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6"/>
      <c r="BF12" s="6"/>
    </row>
    <row r="13" spans="1:58">
      <c r="A13" s="11"/>
      <c r="B13" s="12"/>
      <c r="C13" s="16" t="s">
        <v>16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1"/>
      <c r="AB13" s="11"/>
      <c r="AC13" s="11"/>
      <c r="AD13" s="11"/>
      <c r="AE13" s="11"/>
      <c r="AF13" s="11"/>
      <c r="AG13" s="12"/>
      <c r="AH13" s="12"/>
      <c r="AI13" s="16" t="s">
        <v>16</v>
      </c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7"/>
      <c r="BF13" s="7"/>
    </row>
    <row r="14" spans="1:58">
      <c r="A14" s="11"/>
      <c r="B14" s="13"/>
      <c r="C14" s="17" t="s">
        <v>17</v>
      </c>
      <c r="D14" s="17">
        <v>300</v>
      </c>
      <c r="E14" s="17">
        <v>400</v>
      </c>
      <c r="F14" s="17">
        <v>500</v>
      </c>
      <c r="G14" s="17">
        <v>600</v>
      </c>
      <c r="H14" s="17">
        <v>700</v>
      </c>
      <c r="I14" s="17">
        <v>800</v>
      </c>
      <c r="J14" s="17">
        <v>900</v>
      </c>
      <c r="K14" s="17">
        <v>1000</v>
      </c>
      <c r="L14" s="17">
        <v>1100</v>
      </c>
      <c r="M14" s="17">
        <v>1200</v>
      </c>
      <c r="N14" s="17">
        <v>1300</v>
      </c>
      <c r="O14" s="17">
        <v>1400</v>
      </c>
      <c r="P14" s="17">
        <v>1500</v>
      </c>
      <c r="Q14" s="17">
        <v>1600</v>
      </c>
      <c r="R14" s="17">
        <v>1700</v>
      </c>
      <c r="S14" s="17">
        <v>1800</v>
      </c>
      <c r="T14" s="17">
        <v>1900</v>
      </c>
      <c r="U14" s="17">
        <v>2000</v>
      </c>
      <c r="V14" s="17">
        <v>2100</v>
      </c>
      <c r="W14" s="17">
        <v>2200</v>
      </c>
      <c r="X14" s="17">
        <v>2300</v>
      </c>
      <c r="Y14" s="17">
        <v>2400</v>
      </c>
      <c r="Z14" s="17">
        <v>2500</v>
      </c>
      <c r="AA14" s="11"/>
      <c r="AB14" s="11"/>
      <c r="AC14" s="11"/>
      <c r="AD14" s="11"/>
      <c r="AE14" s="11"/>
      <c r="AF14" s="11"/>
      <c r="AG14" s="12"/>
      <c r="AH14" s="13"/>
      <c r="AI14" s="17" t="s">
        <v>17</v>
      </c>
      <c r="AJ14" s="17">
        <v>300</v>
      </c>
      <c r="AK14" s="17">
        <v>400</v>
      </c>
      <c r="AL14" s="17">
        <v>500</v>
      </c>
      <c r="AM14" s="17">
        <v>600</v>
      </c>
      <c r="AN14" s="17">
        <v>700</v>
      </c>
      <c r="AO14" s="17">
        <v>800</v>
      </c>
      <c r="AP14" s="17">
        <v>900</v>
      </c>
      <c r="AQ14" s="17">
        <v>1000</v>
      </c>
      <c r="AR14" s="17">
        <v>1100</v>
      </c>
      <c r="AS14" s="17">
        <v>1200</v>
      </c>
      <c r="AT14" s="17">
        <v>1300</v>
      </c>
      <c r="AU14" s="17">
        <v>1400</v>
      </c>
      <c r="AV14" s="17">
        <v>1500</v>
      </c>
      <c r="AW14" s="17">
        <v>1600</v>
      </c>
      <c r="AX14" s="17">
        <v>1700</v>
      </c>
      <c r="AY14" s="17">
        <v>1800</v>
      </c>
      <c r="AZ14" s="17">
        <v>1900</v>
      </c>
      <c r="BA14" s="17">
        <v>2000</v>
      </c>
      <c r="BB14" s="17">
        <v>2100</v>
      </c>
      <c r="BC14" s="17">
        <v>2200</v>
      </c>
      <c r="BD14" s="17">
        <v>2300</v>
      </c>
      <c r="BE14" s="8">
        <v>2400</v>
      </c>
      <c r="BF14" s="8">
        <v>2500</v>
      </c>
    </row>
    <row r="15" spans="1:58">
      <c r="A15" s="11"/>
      <c r="B15" s="13" t="s">
        <v>18</v>
      </c>
      <c r="C15" s="17">
        <v>1000</v>
      </c>
      <c r="D15" s="11">
        <v>41.4</v>
      </c>
      <c r="E15" s="11">
        <v>45.77</v>
      </c>
      <c r="F15" s="11">
        <v>50.13</v>
      </c>
      <c r="G15" s="11">
        <v>54.6</v>
      </c>
      <c r="H15" s="11">
        <v>59.8</v>
      </c>
      <c r="I15" s="11">
        <v>65.04</v>
      </c>
      <c r="J15" s="11">
        <v>70.31</v>
      </c>
      <c r="K15" s="11">
        <v>74.98</v>
      </c>
      <c r="L15" s="11">
        <v>80.08</v>
      </c>
      <c r="M15" s="11">
        <v>84.68</v>
      </c>
      <c r="N15" s="11">
        <v>89.34</v>
      </c>
      <c r="O15" s="11">
        <v>93.91</v>
      </c>
      <c r="P15" s="11">
        <v>99.07</v>
      </c>
      <c r="Q15" s="11">
        <v>104.84</v>
      </c>
      <c r="R15" s="11">
        <v>109.23</v>
      </c>
      <c r="S15" s="11">
        <v>114</v>
      </c>
      <c r="T15" s="11">
        <v>118.49</v>
      </c>
      <c r="U15" s="11">
        <v>123.17</v>
      </c>
      <c r="V15" s="11">
        <v>129.55</v>
      </c>
      <c r="W15" s="11">
        <v>136.77</v>
      </c>
      <c r="X15" s="11">
        <v>143.22</v>
      </c>
      <c r="Y15" s="11">
        <v>147.71</v>
      </c>
      <c r="Z15" s="11">
        <v>152.69</v>
      </c>
      <c r="AA15" s="11"/>
      <c r="AB15" s="11"/>
      <c r="AC15" s="11"/>
      <c r="AD15" s="11"/>
      <c r="AE15" s="11"/>
      <c r="AF15" s="11"/>
      <c r="AG15" s="12"/>
      <c r="AH15" s="13" t="s">
        <v>18</v>
      </c>
      <c r="AI15" s="17">
        <v>1000</v>
      </c>
      <c r="AJ15" s="11" t="str">
        <f>ROUND(41.4*(1+AD6)*(1+AD5)+AD7,2)</f>
        <v>0</v>
      </c>
      <c r="AK15" s="11" t="str">
        <f>ROUND(45.77*(1+AD6)*(1+AD5)+AD7,2)</f>
        <v>0</v>
      </c>
      <c r="AL15" s="11" t="str">
        <f>ROUND(50.13*(1+AD6)*(1+AD5)+AD7,2)</f>
        <v>0</v>
      </c>
      <c r="AM15" s="11" t="str">
        <f>ROUND(54.6*(1+AD6)*(1+AD5)+AD7,2)</f>
        <v>0</v>
      </c>
      <c r="AN15" s="11" t="str">
        <f>ROUND(59.8*(1+AD6)*(1+AD5)+AD7,2)</f>
        <v>0</v>
      </c>
      <c r="AO15" s="11" t="str">
        <f>ROUND(65.04*(1+AD6)*(1+AD5)+AD7,2)</f>
        <v>0</v>
      </c>
      <c r="AP15" s="11" t="str">
        <f>ROUND(70.31*(1+AD6)*(1+AD5)+AD7,2)</f>
        <v>0</v>
      </c>
      <c r="AQ15" s="11" t="str">
        <f>ROUND(74.98*(1+AD6)*(1+AD5)+AD7,2)</f>
        <v>0</v>
      </c>
      <c r="AR15" s="11" t="str">
        <f>ROUND(80.08*(1+AD6)*(1+AD5)+AD7,2)</f>
        <v>0</v>
      </c>
      <c r="AS15" s="11" t="str">
        <f>ROUND(84.68*(1+AD6)*(1+AD5)+AD7,2)</f>
        <v>0</v>
      </c>
      <c r="AT15" s="11" t="str">
        <f>ROUND(89.34*(1+AD6)*(1+AD5)+AD7,2)</f>
        <v>0</v>
      </c>
      <c r="AU15" s="11" t="str">
        <f>ROUND(93.91*(1+AD6)*(1+AD5)+AD7,2)</f>
        <v>0</v>
      </c>
      <c r="AV15" s="11" t="str">
        <f>ROUND(99.07*(1+AD6)*(1+AD5)+AD7,2)</f>
        <v>0</v>
      </c>
      <c r="AW15" s="11" t="str">
        <f>ROUND(104.84*(1+AD6)*(1+AD5)+AD7,2)</f>
        <v>0</v>
      </c>
      <c r="AX15" s="11" t="str">
        <f>ROUND(109.23*(1+AD6)*(1+AD5)+AD7,2)</f>
        <v>0</v>
      </c>
      <c r="AY15" s="11" t="str">
        <f>ROUND(114*(1+AD6)*(1+AD5)+AD7,2)</f>
        <v>0</v>
      </c>
      <c r="AZ15" s="11" t="str">
        <f>ROUND(118.49*(1+AD6)*(1+AD5)+AD7,2)</f>
        <v>0</v>
      </c>
      <c r="BA15" s="11" t="str">
        <f>ROUND(123.17*(1+AD6)*(1+AD5)+AD7,2)</f>
        <v>0</v>
      </c>
      <c r="BB15" s="11" t="str">
        <f>ROUND(129.55*(1+AD6)*(1+AD5)+AD7,2)</f>
        <v>0</v>
      </c>
      <c r="BC15" s="11" t="str">
        <f>ROUND(136.77*(1+AD6)*(1+AD5)+AD7,2)</f>
        <v>0</v>
      </c>
      <c r="BD15" s="11" t="str">
        <f>ROUND(143.22*(1+AD6)*(1+AD5)+AD7,2)</f>
        <v>0</v>
      </c>
      <c r="BE15" t="str">
        <f>ROUND(147.71*(1+AD6)*(1+AD5)+AD7,2)</f>
        <v>0</v>
      </c>
      <c r="BF15" t="str">
        <f>ROUND(152.69*(1+AD6)*(1+AD5)+AD7,2)</f>
        <v>0</v>
      </c>
    </row>
    <row r="16" spans="1:58">
      <c r="A16" s="11"/>
      <c r="B16" s="13"/>
      <c r="C16" s="17">
        <v>1100</v>
      </c>
      <c r="D16" s="11">
        <v>41.74</v>
      </c>
      <c r="E16" s="11">
        <v>46.2</v>
      </c>
      <c r="F16" s="11">
        <v>50.67</v>
      </c>
      <c r="G16" s="11">
        <v>55.24</v>
      </c>
      <c r="H16" s="11">
        <v>60.55</v>
      </c>
      <c r="I16" s="11">
        <v>65.88</v>
      </c>
      <c r="J16" s="11">
        <v>71.25</v>
      </c>
      <c r="K16" s="11">
        <v>76.03</v>
      </c>
      <c r="L16" s="11">
        <v>81.21</v>
      </c>
      <c r="M16" s="11">
        <v>85.93</v>
      </c>
      <c r="N16" s="11">
        <v>90.66</v>
      </c>
      <c r="O16" s="11">
        <v>95.35</v>
      </c>
      <c r="P16" s="11">
        <v>100.61</v>
      </c>
      <c r="Q16" s="11">
        <v>106.46</v>
      </c>
      <c r="R16" s="11">
        <v>110.92</v>
      </c>
      <c r="S16" s="11">
        <v>115.83</v>
      </c>
      <c r="T16" s="11">
        <v>120.4</v>
      </c>
      <c r="U16" s="11">
        <v>125.18</v>
      </c>
      <c r="V16" s="11">
        <v>131.65</v>
      </c>
      <c r="W16" s="11">
        <v>139.01</v>
      </c>
      <c r="X16" s="11">
        <v>145.54</v>
      </c>
      <c r="Y16" s="11">
        <v>150.12</v>
      </c>
      <c r="Z16" s="11">
        <v>155.16</v>
      </c>
      <c r="AA16" s="11"/>
      <c r="AB16" s="11"/>
      <c r="AC16" s="11"/>
      <c r="AD16" s="11"/>
      <c r="AE16" s="11"/>
      <c r="AF16" s="11"/>
      <c r="AG16" s="12"/>
      <c r="AH16" s="13"/>
      <c r="AI16" s="17">
        <v>1100</v>
      </c>
      <c r="AJ16" s="11" t="str">
        <f>ROUND(41.74*(1+AD6)*(1+AD5)+AD7,2)</f>
        <v>0</v>
      </c>
      <c r="AK16" s="11" t="str">
        <f>ROUND(46.2*(1+AD6)*(1+AD5)+AD7,2)</f>
        <v>0</v>
      </c>
      <c r="AL16" s="11" t="str">
        <f>ROUND(50.67*(1+AD6)*(1+AD5)+AD7,2)</f>
        <v>0</v>
      </c>
      <c r="AM16" s="11" t="str">
        <f>ROUND(55.24*(1+AD6)*(1+AD5)+AD7,2)</f>
        <v>0</v>
      </c>
      <c r="AN16" s="11" t="str">
        <f>ROUND(60.55*(1+AD6)*(1+AD5)+AD7,2)</f>
        <v>0</v>
      </c>
      <c r="AO16" s="11" t="str">
        <f>ROUND(65.88*(1+AD6)*(1+AD5)+AD7,2)</f>
        <v>0</v>
      </c>
      <c r="AP16" s="11" t="str">
        <f>ROUND(71.25*(1+AD6)*(1+AD5)+AD7,2)</f>
        <v>0</v>
      </c>
      <c r="AQ16" s="11" t="str">
        <f>ROUND(76.03*(1+AD6)*(1+AD5)+AD7,2)</f>
        <v>0</v>
      </c>
      <c r="AR16" s="11" t="str">
        <f>ROUND(81.21*(1+AD6)*(1+AD5)+AD7,2)</f>
        <v>0</v>
      </c>
      <c r="AS16" s="11" t="str">
        <f>ROUND(85.93*(1+AD6)*(1+AD5)+AD7,2)</f>
        <v>0</v>
      </c>
      <c r="AT16" s="11" t="str">
        <f>ROUND(90.66*(1+AD6)*(1+AD5)+AD7,2)</f>
        <v>0</v>
      </c>
      <c r="AU16" s="11" t="str">
        <f>ROUND(95.35*(1+AD6)*(1+AD5)+AD7,2)</f>
        <v>0</v>
      </c>
      <c r="AV16" s="11" t="str">
        <f>ROUND(100.61*(1+AD6)*(1+AD5)+AD7,2)</f>
        <v>0</v>
      </c>
      <c r="AW16" s="11" t="str">
        <f>ROUND(106.46*(1+AD6)*(1+AD5)+AD7,2)</f>
        <v>0</v>
      </c>
      <c r="AX16" s="11" t="str">
        <f>ROUND(110.92*(1+AD6)*(1+AD5)+AD7,2)</f>
        <v>0</v>
      </c>
      <c r="AY16" s="11" t="str">
        <f>ROUND(115.83*(1+AD6)*(1+AD5)+AD7,2)</f>
        <v>0</v>
      </c>
      <c r="AZ16" s="11" t="str">
        <f>ROUND(120.4*(1+AD6)*(1+AD5)+AD7,2)</f>
        <v>0</v>
      </c>
      <c r="BA16" s="11" t="str">
        <f>ROUND(125.18*(1+AD6)*(1+AD5)+AD7,2)</f>
        <v>0</v>
      </c>
      <c r="BB16" s="11" t="str">
        <f>ROUND(131.65*(1+AD6)*(1+AD5)+AD7,2)</f>
        <v>0</v>
      </c>
      <c r="BC16" s="11" t="str">
        <f>ROUND(139.01*(1+AD6)*(1+AD5)+AD7,2)</f>
        <v>0</v>
      </c>
      <c r="BD16" s="11" t="str">
        <f>ROUND(145.54*(1+AD6)*(1+AD5)+AD7,2)</f>
        <v>0</v>
      </c>
      <c r="BE16" t="str">
        <f>ROUND(150.12*(1+AD6)*(1+AD5)+AD7,2)</f>
        <v>0</v>
      </c>
      <c r="BF16" t="str">
        <f>ROUND(155.16*(1+AD6)*(1+AD5)+AD7,2)</f>
        <v>0</v>
      </c>
    </row>
    <row r="17" spans="1:58">
      <c r="A17" s="11"/>
      <c r="B17" s="13"/>
      <c r="C17" s="17">
        <v>1200</v>
      </c>
      <c r="D17" s="11">
        <v>42.09</v>
      </c>
      <c r="E17" s="11">
        <v>46.68</v>
      </c>
      <c r="F17" s="11">
        <v>51.23</v>
      </c>
      <c r="G17" s="11">
        <v>55.87</v>
      </c>
      <c r="H17" s="11">
        <v>61.27</v>
      </c>
      <c r="I17" s="11">
        <v>66.7</v>
      </c>
      <c r="J17" s="11">
        <v>72.19</v>
      </c>
      <c r="K17" s="11">
        <v>77.06</v>
      </c>
      <c r="L17" s="11">
        <v>82.37</v>
      </c>
      <c r="M17" s="11">
        <v>87.18</v>
      </c>
      <c r="N17" s="11">
        <v>93.49</v>
      </c>
      <c r="O17" s="11">
        <v>96.77</v>
      </c>
      <c r="P17" s="11">
        <v>102.13</v>
      </c>
      <c r="Q17" s="11">
        <v>108.08</v>
      </c>
      <c r="R17" s="11">
        <v>112.67</v>
      </c>
      <c r="S17" s="11">
        <v>117.65</v>
      </c>
      <c r="T17" s="11">
        <v>122.3</v>
      </c>
      <c r="U17" s="11">
        <v>127.21</v>
      </c>
      <c r="V17" s="11">
        <v>133.76</v>
      </c>
      <c r="W17" s="11">
        <v>141.2</v>
      </c>
      <c r="X17" s="11">
        <v>147.86</v>
      </c>
      <c r="Y17" s="11">
        <v>152.54</v>
      </c>
      <c r="Z17" s="11">
        <v>157.67</v>
      </c>
      <c r="AA17" s="11"/>
      <c r="AB17" s="11"/>
      <c r="AC17" s="11"/>
      <c r="AD17" s="11"/>
      <c r="AE17" s="11"/>
      <c r="AF17" s="11"/>
      <c r="AG17" s="12"/>
      <c r="AH17" s="13"/>
      <c r="AI17" s="17">
        <v>1200</v>
      </c>
      <c r="AJ17" s="11" t="str">
        <f>ROUND(42.09*(1+AD6)*(1+AD5)+AD7,2)</f>
        <v>0</v>
      </c>
      <c r="AK17" s="11" t="str">
        <f>ROUND(46.68*(1+AD6)*(1+AD5)+AD7,2)</f>
        <v>0</v>
      </c>
      <c r="AL17" s="11" t="str">
        <f>ROUND(51.23*(1+AD6)*(1+AD5)+AD7,2)</f>
        <v>0</v>
      </c>
      <c r="AM17" s="11" t="str">
        <f>ROUND(55.87*(1+AD6)*(1+AD5)+AD7,2)</f>
        <v>0</v>
      </c>
      <c r="AN17" s="11" t="str">
        <f>ROUND(61.27*(1+AD6)*(1+AD5)+AD7,2)</f>
        <v>0</v>
      </c>
      <c r="AO17" s="11" t="str">
        <f>ROUND(66.7*(1+AD6)*(1+AD5)+AD7,2)</f>
        <v>0</v>
      </c>
      <c r="AP17" s="11" t="str">
        <f>ROUND(72.19*(1+AD6)*(1+AD5)+AD7,2)</f>
        <v>0</v>
      </c>
      <c r="AQ17" s="11" t="str">
        <f>ROUND(77.06*(1+AD6)*(1+AD5)+AD7,2)</f>
        <v>0</v>
      </c>
      <c r="AR17" s="11" t="str">
        <f>ROUND(82.37*(1+AD6)*(1+AD5)+AD7,2)</f>
        <v>0</v>
      </c>
      <c r="AS17" s="11" t="str">
        <f>ROUND(87.18*(1+AD6)*(1+AD5)+AD7,2)</f>
        <v>0</v>
      </c>
      <c r="AT17" s="11" t="str">
        <f>ROUND(93.49*(1+AD6)*(1+AD5)+AD7,2)</f>
        <v>0</v>
      </c>
      <c r="AU17" s="11" t="str">
        <f>ROUND(96.77*(1+AD6)*(1+AD5)+AD7,2)</f>
        <v>0</v>
      </c>
      <c r="AV17" s="11" t="str">
        <f>ROUND(102.13*(1+AD6)*(1+AD5)+AD7,2)</f>
        <v>0</v>
      </c>
      <c r="AW17" s="11" t="str">
        <f>ROUND(108.08*(1+AD6)*(1+AD5)+AD7,2)</f>
        <v>0</v>
      </c>
      <c r="AX17" s="11" t="str">
        <f>ROUND(112.67*(1+AD6)*(1+AD5)+AD7,2)</f>
        <v>0</v>
      </c>
      <c r="AY17" s="11" t="str">
        <f>ROUND(117.65*(1+AD6)*(1+AD5)+AD7,2)</f>
        <v>0</v>
      </c>
      <c r="AZ17" s="11" t="str">
        <f>ROUND(122.3*(1+AD6)*(1+AD5)+AD7,2)</f>
        <v>0</v>
      </c>
      <c r="BA17" s="11" t="str">
        <f>ROUND(127.21*(1+AD6)*(1+AD5)+AD7,2)</f>
        <v>0</v>
      </c>
      <c r="BB17" s="11" t="str">
        <f>ROUND(133.76*(1+AD6)*(1+AD5)+AD7,2)</f>
        <v>0</v>
      </c>
      <c r="BC17" s="11" t="str">
        <f>ROUND(141.2*(1+AD6)*(1+AD5)+AD7,2)</f>
        <v>0</v>
      </c>
      <c r="BD17" s="11" t="str">
        <f>ROUND(147.86*(1+AD6)*(1+AD5)+AD7,2)</f>
        <v>0</v>
      </c>
      <c r="BE17" t="str">
        <f>ROUND(152.54*(1+AD6)*(1+AD5)+AD7,2)</f>
        <v>0</v>
      </c>
      <c r="BF17" t="str">
        <f>ROUND(157.67*(1+AD6)*(1+AD5)+AD7,2)</f>
        <v>0</v>
      </c>
    </row>
    <row r="18" spans="1:58">
      <c r="A18" s="11"/>
      <c r="B18" s="13"/>
      <c r="C18" s="17">
        <v>1300</v>
      </c>
      <c r="D18" s="11">
        <v>42.41</v>
      </c>
      <c r="E18" s="11">
        <v>47.11</v>
      </c>
      <c r="F18" s="11">
        <v>51.79</v>
      </c>
      <c r="G18" s="11">
        <v>56.53</v>
      </c>
      <c r="H18" s="11">
        <v>62.03</v>
      </c>
      <c r="I18" s="11">
        <v>67.44</v>
      </c>
      <c r="J18" s="11">
        <v>73.11</v>
      </c>
      <c r="K18" s="11">
        <v>78.11</v>
      </c>
      <c r="L18" s="11">
        <v>83.49</v>
      </c>
      <c r="M18" s="11">
        <v>88.39</v>
      </c>
      <c r="N18" s="11">
        <v>93.32</v>
      </c>
      <c r="O18" s="11">
        <v>98.21</v>
      </c>
      <c r="P18" s="11">
        <v>103.65</v>
      </c>
      <c r="Q18" s="11">
        <v>109.71</v>
      </c>
      <c r="R18" s="11">
        <v>114.37</v>
      </c>
      <c r="S18" s="11">
        <v>119.47</v>
      </c>
      <c r="T18" s="11">
        <v>124.24</v>
      </c>
      <c r="U18" s="11">
        <v>129.23</v>
      </c>
      <c r="V18" s="11">
        <v>135.88</v>
      </c>
      <c r="W18" s="11">
        <v>143.44</v>
      </c>
      <c r="X18" s="11">
        <v>150.17</v>
      </c>
      <c r="Y18" s="11">
        <v>154.95</v>
      </c>
      <c r="Z18" s="11">
        <v>160.13</v>
      </c>
      <c r="AA18" s="11"/>
      <c r="AB18" s="11"/>
      <c r="AC18" s="11"/>
      <c r="AD18" s="11"/>
      <c r="AE18" s="11"/>
      <c r="AF18" s="11"/>
      <c r="AG18" s="12"/>
      <c r="AH18" s="13"/>
      <c r="AI18" s="17">
        <v>1300</v>
      </c>
      <c r="AJ18" s="11" t="str">
        <f>ROUND(42.41*(1+AD6)*(1+AD5)+AD7,2)</f>
        <v>0</v>
      </c>
      <c r="AK18" s="11" t="str">
        <f>ROUND(47.11*(1+AD6)*(1+AD5)+AD7,2)</f>
        <v>0</v>
      </c>
      <c r="AL18" s="11" t="str">
        <f>ROUND(51.79*(1+AD6)*(1+AD5)+AD7,2)</f>
        <v>0</v>
      </c>
      <c r="AM18" s="11" t="str">
        <f>ROUND(56.53*(1+AD6)*(1+AD5)+AD7,2)</f>
        <v>0</v>
      </c>
      <c r="AN18" s="11" t="str">
        <f>ROUND(62.03*(1+AD6)*(1+AD5)+AD7,2)</f>
        <v>0</v>
      </c>
      <c r="AO18" s="11" t="str">
        <f>ROUND(67.44*(1+AD6)*(1+AD5)+AD7,2)</f>
        <v>0</v>
      </c>
      <c r="AP18" s="11" t="str">
        <f>ROUND(73.11*(1+AD6)*(1+AD5)+AD7,2)</f>
        <v>0</v>
      </c>
      <c r="AQ18" s="11" t="str">
        <f>ROUND(78.11*(1+AD6)*(1+AD5)+AD7,2)</f>
        <v>0</v>
      </c>
      <c r="AR18" s="11" t="str">
        <f>ROUND(83.49*(1+AD6)*(1+AD5)+AD7,2)</f>
        <v>0</v>
      </c>
      <c r="AS18" s="11" t="str">
        <f>ROUND(88.39*(1+AD6)*(1+AD5)+AD7,2)</f>
        <v>0</v>
      </c>
      <c r="AT18" s="11" t="str">
        <f>ROUND(93.32*(1+AD6)*(1+AD5)+AD7,2)</f>
        <v>0</v>
      </c>
      <c r="AU18" s="11" t="str">
        <f>ROUND(98.21*(1+AD6)*(1+AD5)+AD7,2)</f>
        <v>0</v>
      </c>
      <c r="AV18" s="11" t="str">
        <f>ROUND(103.65*(1+AD6)*(1+AD5)+AD7,2)</f>
        <v>0</v>
      </c>
      <c r="AW18" s="11" t="str">
        <f>ROUND(109.71*(1+AD6)*(1+AD5)+AD7,2)</f>
        <v>0</v>
      </c>
      <c r="AX18" s="11" t="str">
        <f>ROUND(114.37*(1+AD6)*(1+AD5)+AD7,2)</f>
        <v>0</v>
      </c>
      <c r="AY18" s="11" t="str">
        <f>ROUND(119.47*(1+AD6)*(1+AD5)+AD7,2)</f>
        <v>0</v>
      </c>
      <c r="AZ18" s="11" t="str">
        <f>ROUND(124.24*(1+AD6)*(1+AD5)+AD7,2)</f>
        <v>0</v>
      </c>
      <c r="BA18" s="11" t="str">
        <f>ROUND(129.23*(1+AD6)*(1+AD5)+AD7,2)</f>
        <v>0</v>
      </c>
      <c r="BB18" s="11" t="str">
        <f>ROUND(135.88*(1+AD6)*(1+AD5)+AD7,2)</f>
        <v>0</v>
      </c>
      <c r="BC18" s="11" t="str">
        <f>ROUND(143.44*(1+AD6)*(1+AD5)+AD7,2)</f>
        <v>0</v>
      </c>
      <c r="BD18" s="11" t="str">
        <f>ROUND(150.17*(1+AD6)*(1+AD5)+AD7,2)</f>
        <v>0</v>
      </c>
      <c r="BE18" t="str">
        <f>ROUND(154.95*(1+AD6)*(1+AD5)+AD7,2)</f>
        <v>0</v>
      </c>
      <c r="BF18" t="str">
        <f>ROUND(160.13*(1+AD6)*(1+AD5)+AD7,2)</f>
        <v>0</v>
      </c>
    </row>
    <row r="19" spans="1:58">
      <c r="A19" s="11"/>
      <c r="B19" s="13"/>
      <c r="C19" s="17">
        <v>1400</v>
      </c>
      <c r="D19" s="11">
        <v>42.77</v>
      </c>
      <c r="E19" s="11">
        <v>47.57</v>
      </c>
      <c r="F19" s="11">
        <v>52.33</v>
      </c>
      <c r="G19" s="11">
        <v>57.18</v>
      </c>
      <c r="H19" s="11">
        <v>62.77</v>
      </c>
      <c r="I19" s="11">
        <v>68.39</v>
      </c>
      <c r="J19" s="11">
        <v>74.05</v>
      </c>
      <c r="K19" s="11">
        <v>79.15</v>
      </c>
      <c r="L19" s="11">
        <v>84.6</v>
      </c>
      <c r="M19" s="11">
        <v>89.64</v>
      </c>
      <c r="N19" s="11">
        <v>94.65</v>
      </c>
      <c r="O19" s="11">
        <v>99.63</v>
      </c>
      <c r="P19" s="11">
        <v>105.18</v>
      </c>
      <c r="Q19" s="11">
        <v>111.32</v>
      </c>
      <c r="R19" s="11">
        <v>116.09</v>
      </c>
      <c r="S19" s="11">
        <v>121.27</v>
      </c>
      <c r="T19" s="11">
        <v>126.15</v>
      </c>
      <c r="U19" s="11">
        <v>131.24</v>
      </c>
      <c r="V19" s="11">
        <v>137.98</v>
      </c>
      <c r="W19" s="11">
        <v>145.63</v>
      </c>
      <c r="X19" s="11">
        <v>152.5</v>
      </c>
      <c r="Y19" s="11">
        <v>157.37</v>
      </c>
      <c r="Z19" s="11">
        <v>162.64</v>
      </c>
      <c r="AA19" s="11"/>
      <c r="AB19" s="11"/>
      <c r="AC19" s="11"/>
      <c r="AD19" s="11"/>
      <c r="AE19" s="11"/>
      <c r="AF19" s="11"/>
      <c r="AG19" s="12"/>
      <c r="AH19" s="13"/>
      <c r="AI19" s="17">
        <v>1400</v>
      </c>
      <c r="AJ19" s="11" t="str">
        <f>ROUND(42.77*(1+AD6)*(1+AD5)+AD7,2)</f>
        <v>0</v>
      </c>
      <c r="AK19" s="11" t="str">
        <f>ROUND(47.57*(1+AD6)*(1+AD5)+AD7,2)</f>
        <v>0</v>
      </c>
      <c r="AL19" s="11" t="str">
        <f>ROUND(52.33*(1+AD6)*(1+AD5)+AD7,2)</f>
        <v>0</v>
      </c>
      <c r="AM19" s="11" t="str">
        <f>ROUND(57.18*(1+AD6)*(1+AD5)+AD7,2)</f>
        <v>0</v>
      </c>
      <c r="AN19" s="11" t="str">
        <f>ROUND(62.77*(1+AD6)*(1+AD5)+AD7,2)</f>
        <v>0</v>
      </c>
      <c r="AO19" s="11" t="str">
        <f>ROUND(68.39*(1+AD6)*(1+AD5)+AD7,2)</f>
        <v>0</v>
      </c>
      <c r="AP19" s="11" t="str">
        <f>ROUND(74.05*(1+AD6)*(1+AD5)+AD7,2)</f>
        <v>0</v>
      </c>
      <c r="AQ19" s="11" t="str">
        <f>ROUND(79.15*(1+AD6)*(1+AD5)+AD7,2)</f>
        <v>0</v>
      </c>
      <c r="AR19" s="11" t="str">
        <f>ROUND(84.6*(1+AD6)*(1+AD5)+AD7,2)</f>
        <v>0</v>
      </c>
      <c r="AS19" s="11" t="str">
        <f>ROUND(89.64*(1+AD6)*(1+AD5)+AD7,2)</f>
        <v>0</v>
      </c>
      <c r="AT19" s="11" t="str">
        <f>ROUND(94.65*(1+AD6)*(1+AD5)+AD7,2)</f>
        <v>0</v>
      </c>
      <c r="AU19" s="11" t="str">
        <f>ROUND(99.63*(1+AD6)*(1+AD5)+AD7,2)</f>
        <v>0</v>
      </c>
      <c r="AV19" s="11" t="str">
        <f>ROUND(105.18*(1+AD6)*(1+AD5)+AD7,2)</f>
        <v>0</v>
      </c>
      <c r="AW19" s="11" t="str">
        <f>ROUND(111.32*(1+AD6)*(1+AD5)+AD7,2)</f>
        <v>0</v>
      </c>
      <c r="AX19" s="11" t="str">
        <f>ROUND(116.09*(1+AD6)*(1+AD5)+AD7,2)</f>
        <v>0</v>
      </c>
      <c r="AY19" s="11" t="str">
        <f>ROUND(121.27*(1+AD6)*(1+AD5)+AD7,2)</f>
        <v>0</v>
      </c>
      <c r="AZ19" s="11" t="str">
        <f>ROUND(126.15*(1+AD6)*(1+AD5)+AD7,2)</f>
        <v>0</v>
      </c>
      <c r="BA19" s="11" t="str">
        <f>ROUND(131.24*(1+AD6)*(1+AD5)+AD7,2)</f>
        <v>0</v>
      </c>
      <c r="BB19" s="11" t="str">
        <f>ROUND(137.98*(1+AD6)*(1+AD5)+AD7,2)</f>
        <v>0</v>
      </c>
      <c r="BC19" s="11" t="str">
        <f>ROUND(145.63*(1+AD6)*(1+AD5)+AD7,2)</f>
        <v>0</v>
      </c>
      <c r="BD19" s="11" t="str">
        <f>ROUND(152.5*(1+AD6)*(1+AD5)+AD7,2)</f>
        <v>0</v>
      </c>
      <c r="BE19" t="str">
        <f>ROUND(157.37*(1+AD6)*(1+AD5)+AD7,2)</f>
        <v>0</v>
      </c>
      <c r="BF19" t="str">
        <f>ROUND(162.64*(1+AD6)*(1+AD5)+AD7,2)</f>
        <v>0</v>
      </c>
    </row>
    <row r="20" spans="1:58">
      <c r="A20" s="11"/>
      <c r="B20" s="13"/>
      <c r="C20" s="17">
        <v>1500</v>
      </c>
      <c r="D20" s="11">
        <v>43.13</v>
      </c>
      <c r="E20" s="11">
        <v>48</v>
      </c>
      <c r="F20" s="11">
        <v>52.88</v>
      </c>
      <c r="G20" s="11">
        <v>57.8</v>
      </c>
      <c r="H20" s="11">
        <v>63.49</v>
      </c>
      <c r="I20" s="11">
        <v>69.21</v>
      </c>
      <c r="J20" s="11">
        <v>75</v>
      </c>
      <c r="K20" s="11">
        <v>80.2</v>
      </c>
      <c r="L20" s="11">
        <v>85.74</v>
      </c>
      <c r="M20" s="11">
        <v>90.86</v>
      </c>
      <c r="N20" s="11">
        <v>95.99</v>
      </c>
      <c r="O20" s="11">
        <v>101.04</v>
      </c>
      <c r="P20" s="11">
        <v>106.71</v>
      </c>
      <c r="Q20" s="11">
        <v>112.93</v>
      </c>
      <c r="R20" s="11">
        <v>117.83</v>
      </c>
      <c r="S20" s="11">
        <v>123.12</v>
      </c>
      <c r="T20" s="11">
        <v>128.08</v>
      </c>
      <c r="U20" s="11">
        <v>133.27</v>
      </c>
      <c r="V20" s="11">
        <v>140.13</v>
      </c>
      <c r="W20" s="11">
        <v>147.86</v>
      </c>
      <c r="X20" s="11">
        <v>154.82</v>
      </c>
      <c r="Y20" s="11">
        <v>159.8</v>
      </c>
      <c r="Z20" s="11">
        <v>165.12</v>
      </c>
      <c r="AA20" s="11"/>
      <c r="AB20" s="11"/>
      <c r="AC20" s="11"/>
      <c r="AD20" s="11"/>
      <c r="AE20" s="11"/>
      <c r="AF20" s="11"/>
      <c r="AG20" s="12"/>
      <c r="AH20" s="13"/>
      <c r="AI20" s="17">
        <v>1500</v>
      </c>
      <c r="AJ20" s="11" t="str">
        <f>ROUND(43.13*(1+AD6)*(1+AD5)+AD7,2)</f>
        <v>0</v>
      </c>
      <c r="AK20" s="11" t="str">
        <f>ROUND(48*(1+AD6)*(1+AD5)+AD7,2)</f>
        <v>0</v>
      </c>
      <c r="AL20" s="11" t="str">
        <f>ROUND(52.88*(1+AD6)*(1+AD5)+AD7,2)</f>
        <v>0</v>
      </c>
      <c r="AM20" s="11" t="str">
        <f>ROUND(57.8*(1+AD6)*(1+AD5)+AD7,2)</f>
        <v>0</v>
      </c>
      <c r="AN20" s="11" t="str">
        <f>ROUND(63.49*(1+AD6)*(1+AD5)+AD7,2)</f>
        <v>0</v>
      </c>
      <c r="AO20" s="11" t="str">
        <f>ROUND(69.21*(1+AD6)*(1+AD5)+AD7,2)</f>
        <v>0</v>
      </c>
      <c r="AP20" s="11" t="str">
        <f>ROUND(75*(1+AD6)*(1+AD5)+AD7,2)</f>
        <v>0</v>
      </c>
      <c r="AQ20" s="11" t="str">
        <f>ROUND(80.2*(1+AD6)*(1+AD5)+AD7,2)</f>
        <v>0</v>
      </c>
      <c r="AR20" s="11" t="str">
        <f>ROUND(85.74*(1+AD6)*(1+AD5)+AD7,2)</f>
        <v>0</v>
      </c>
      <c r="AS20" s="11" t="str">
        <f>ROUND(90.86*(1+AD6)*(1+AD5)+AD7,2)</f>
        <v>0</v>
      </c>
      <c r="AT20" s="11" t="str">
        <f>ROUND(95.99*(1+AD6)*(1+AD5)+AD7,2)</f>
        <v>0</v>
      </c>
      <c r="AU20" s="11" t="str">
        <f>ROUND(101.04*(1+AD6)*(1+AD5)+AD7,2)</f>
        <v>0</v>
      </c>
      <c r="AV20" s="11" t="str">
        <f>ROUND(106.71*(1+AD6)*(1+AD5)+AD7,2)</f>
        <v>0</v>
      </c>
      <c r="AW20" s="11" t="str">
        <f>ROUND(112.93*(1+AD6)*(1+AD5)+AD7,2)</f>
        <v>0</v>
      </c>
      <c r="AX20" s="11" t="str">
        <f>ROUND(117.83*(1+AD6)*(1+AD5)+AD7,2)</f>
        <v>0</v>
      </c>
      <c r="AY20" s="11" t="str">
        <f>ROUND(123.12*(1+AD6)*(1+AD5)+AD7,2)</f>
        <v>0</v>
      </c>
      <c r="AZ20" s="11" t="str">
        <f>ROUND(128.08*(1+AD6)*(1+AD5)+AD7,2)</f>
        <v>0</v>
      </c>
      <c r="BA20" s="11" t="str">
        <f>ROUND(133.27*(1+AD6)*(1+AD5)+AD7,2)</f>
        <v>0</v>
      </c>
      <c r="BB20" s="11" t="str">
        <f>ROUND(140.13*(1+AD6)*(1+AD5)+AD7,2)</f>
        <v>0</v>
      </c>
      <c r="BC20" s="11" t="str">
        <f>ROUND(147.86*(1+AD6)*(1+AD5)+AD7,2)</f>
        <v>0</v>
      </c>
      <c r="BD20" s="11" t="str">
        <f>ROUND(154.82*(1+AD6)*(1+AD5)+AD7,2)</f>
        <v>0</v>
      </c>
      <c r="BE20" t="str">
        <f>ROUND(159.8*(1+AD6)*(1+AD5)+AD7,2)</f>
        <v>0</v>
      </c>
      <c r="BF20" t="str">
        <f>ROUND(165.12*(1+AD6)*(1+AD5)+AD7,2)</f>
        <v>0</v>
      </c>
    </row>
    <row r="21" spans="1:58">
      <c r="A21" s="11"/>
      <c r="B21" s="13"/>
      <c r="C21" s="17">
        <v>1600</v>
      </c>
      <c r="D21" s="11">
        <v>43.47</v>
      </c>
      <c r="E21" s="11">
        <v>48.46</v>
      </c>
      <c r="F21" s="11">
        <v>53.4</v>
      </c>
      <c r="G21" s="11">
        <v>58.44</v>
      </c>
      <c r="H21" s="11">
        <v>64.23</v>
      </c>
      <c r="I21" s="11">
        <v>70.06</v>
      </c>
      <c r="J21" s="11">
        <v>75.93</v>
      </c>
      <c r="K21" s="11">
        <v>81.19</v>
      </c>
      <c r="L21" s="11">
        <v>86.87</v>
      </c>
      <c r="M21" s="11">
        <v>92.09</v>
      </c>
      <c r="N21" s="11">
        <v>97.32</v>
      </c>
      <c r="O21" s="11">
        <v>102.49</v>
      </c>
      <c r="P21" s="11">
        <v>108.24</v>
      </c>
      <c r="Q21" s="11">
        <v>114.6</v>
      </c>
      <c r="R21" s="11">
        <v>119.54</v>
      </c>
      <c r="S21" s="11">
        <v>124.95</v>
      </c>
      <c r="T21" s="11">
        <v>130</v>
      </c>
      <c r="U21" s="11">
        <v>135.28</v>
      </c>
      <c r="V21" s="11">
        <v>142.23</v>
      </c>
      <c r="W21" s="11">
        <v>150.07</v>
      </c>
      <c r="X21" s="11">
        <v>157.12</v>
      </c>
      <c r="Y21" s="11">
        <v>162.19</v>
      </c>
      <c r="Z21" s="11">
        <v>167.59</v>
      </c>
      <c r="AA21" s="11"/>
      <c r="AB21" s="11"/>
      <c r="AC21" s="11"/>
      <c r="AD21" s="11"/>
      <c r="AE21" s="11"/>
      <c r="AF21" s="11"/>
      <c r="AG21" s="12"/>
      <c r="AH21" s="13"/>
      <c r="AI21" s="17">
        <v>1600</v>
      </c>
      <c r="AJ21" s="11" t="str">
        <f>ROUND(43.47*(1+AD6)*(1+AD5)+AD7,2)</f>
        <v>0</v>
      </c>
      <c r="AK21" s="11" t="str">
        <f>ROUND(48.46*(1+AD6)*(1+AD5)+AD7,2)</f>
        <v>0</v>
      </c>
      <c r="AL21" s="11" t="str">
        <f>ROUND(53.4*(1+AD6)*(1+AD5)+AD7,2)</f>
        <v>0</v>
      </c>
      <c r="AM21" s="11" t="str">
        <f>ROUND(58.44*(1+AD6)*(1+AD5)+AD7,2)</f>
        <v>0</v>
      </c>
      <c r="AN21" s="11" t="str">
        <f>ROUND(64.23*(1+AD6)*(1+AD5)+AD7,2)</f>
        <v>0</v>
      </c>
      <c r="AO21" s="11" t="str">
        <f>ROUND(70.06*(1+AD6)*(1+AD5)+AD7,2)</f>
        <v>0</v>
      </c>
      <c r="AP21" s="11" t="str">
        <f>ROUND(75.93*(1+AD6)*(1+AD5)+AD7,2)</f>
        <v>0</v>
      </c>
      <c r="AQ21" s="11" t="str">
        <f>ROUND(81.19*(1+AD6)*(1+AD5)+AD7,2)</f>
        <v>0</v>
      </c>
      <c r="AR21" s="11" t="str">
        <f>ROUND(86.87*(1+AD6)*(1+AD5)+AD7,2)</f>
        <v>0</v>
      </c>
      <c r="AS21" s="11" t="str">
        <f>ROUND(92.09*(1+AD6)*(1+AD5)+AD7,2)</f>
        <v>0</v>
      </c>
      <c r="AT21" s="11" t="str">
        <f>ROUND(97.32*(1+AD6)*(1+AD5)+AD7,2)</f>
        <v>0</v>
      </c>
      <c r="AU21" s="11" t="str">
        <f>ROUND(102.49*(1+AD6)*(1+AD5)+AD7,2)</f>
        <v>0</v>
      </c>
      <c r="AV21" s="11" t="str">
        <f>ROUND(108.24*(1+AD6)*(1+AD5)+AD7,2)</f>
        <v>0</v>
      </c>
      <c r="AW21" s="11" t="str">
        <f>ROUND(114.6*(1+AD6)*(1+AD5)+AD7,2)</f>
        <v>0</v>
      </c>
      <c r="AX21" s="11" t="str">
        <f>ROUND(119.54*(1+AD6)*(1+AD5)+AD7,2)</f>
        <v>0</v>
      </c>
      <c r="AY21" s="11" t="str">
        <f>ROUND(124.95*(1+AD6)*(1+AD5)+AD7,2)</f>
        <v>0</v>
      </c>
      <c r="AZ21" s="11" t="str">
        <f>ROUND(130*(1+AD6)*(1+AD5)+AD7,2)</f>
        <v>0</v>
      </c>
      <c r="BA21" s="11" t="str">
        <f>ROUND(135.28*(1+AD6)*(1+AD5)+AD7,2)</f>
        <v>0</v>
      </c>
      <c r="BB21" s="11" t="str">
        <f>ROUND(142.23*(1+AD6)*(1+AD5)+AD7,2)</f>
        <v>0</v>
      </c>
      <c r="BC21" s="11" t="str">
        <f>ROUND(150.07*(1+AD6)*(1+AD5)+AD7,2)</f>
        <v>0</v>
      </c>
      <c r="BD21" s="11" t="str">
        <f>ROUND(157.12*(1+AD6)*(1+AD5)+AD7,2)</f>
        <v>0</v>
      </c>
      <c r="BE21" t="str">
        <f>ROUND(162.19*(1+AD6)*(1+AD5)+AD7,2)</f>
        <v>0</v>
      </c>
      <c r="BF21" t="str">
        <f>ROUND(167.59*(1+AD6)*(1+AD5)+AD7,2)</f>
        <v>0</v>
      </c>
    </row>
    <row r="22" spans="1:58">
      <c r="A22" s="11"/>
      <c r="B22" s="13"/>
      <c r="C22" s="17">
        <v>1700</v>
      </c>
      <c r="D22" s="11">
        <v>43.82</v>
      </c>
      <c r="E22" s="11">
        <v>48.88</v>
      </c>
      <c r="F22" s="11">
        <v>53.96</v>
      </c>
      <c r="G22" s="11">
        <v>59.08</v>
      </c>
      <c r="H22" s="11">
        <v>65</v>
      </c>
      <c r="I22" s="11">
        <v>70.9</v>
      </c>
      <c r="J22" s="11">
        <v>76.87</v>
      </c>
      <c r="K22" s="11">
        <v>82.24</v>
      </c>
      <c r="L22" s="11">
        <v>88.02</v>
      </c>
      <c r="M22" s="11">
        <v>93.33</v>
      </c>
      <c r="N22" s="11">
        <v>98.64</v>
      </c>
      <c r="O22" s="11">
        <v>103.9</v>
      </c>
      <c r="P22" s="11">
        <v>109.79</v>
      </c>
      <c r="Q22" s="11">
        <v>116.21</v>
      </c>
      <c r="R22" s="11">
        <v>121.28</v>
      </c>
      <c r="S22" s="11">
        <v>126.76</v>
      </c>
      <c r="T22" s="11">
        <v>131.94</v>
      </c>
      <c r="U22" s="11">
        <v>137.3</v>
      </c>
      <c r="V22" s="11">
        <v>144.35</v>
      </c>
      <c r="W22" s="11">
        <v>152.28</v>
      </c>
      <c r="X22" s="11">
        <v>159.45</v>
      </c>
      <c r="Y22" s="11">
        <v>164.61</v>
      </c>
      <c r="Z22" s="11">
        <v>170.09</v>
      </c>
      <c r="AA22" s="11"/>
      <c r="AB22" s="11"/>
      <c r="AC22" s="11"/>
      <c r="AD22" s="11"/>
      <c r="AE22" s="11"/>
      <c r="AF22" s="11"/>
      <c r="AG22" s="12"/>
      <c r="AH22" s="13"/>
      <c r="AI22" s="17">
        <v>1700</v>
      </c>
      <c r="AJ22" s="11" t="str">
        <f>ROUND(43.82*(1+AD6)*(1+AD5)+AD7,2)</f>
        <v>0</v>
      </c>
      <c r="AK22" s="11" t="str">
        <f>ROUND(48.88*(1+AD6)*(1+AD5)+AD7,2)</f>
        <v>0</v>
      </c>
      <c r="AL22" s="11" t="str">
        <f>ROUND(53.96*(1+AD6)*(1+AD5)+AD7,2)</f>
        <v>0</v>
      </c>
      <c r="AM22" s="11" t="str">
        <f>ROUND(59.08*(1+AD6)*(1+AD5)+AD7,2)</f>
        <v>0</v>
      </c>
      <c r="AN22" s="11" t="str">
        <f>ROUND(65*(1+AD6)*(1+AD5)+AD7,2)</f>
        <v>0</v>
      </c>
      <c r="AO22" s="11" t="str">
        <f>ROUND(70.9*(1+AD6)*(1+AD5)+AD7,2)</f>
        <v>0</v>
      </c>
      <c r="AP22" s="11" t="str">
        <f>ROUND(76.87*(1+AD6)*(1+AD5)+AD7,2)</f>
        <v>0</v>
      </c>
      <c r="AQ22" s="11" t="str">
        <f>ROUND(82.24*(1+AD6)*(1+AD5)+AD7,2)</f>
        <v>0</v>
      </c>
      <c r="AR22" s="11" t="str">
        <f>ROUND(88.02*(1+AD6)*(1+AD5)+AD7,2)</f>
        <v>0</v>
      </c>
      <c r="AS22" s="11" t="str">
        <f>ROUND(93.33*(1+AD6)*(1+AD5)+AD7,2)</f>
        <v>0</v>
      </c>
      <c r="AT22" s="11" t="str">
        <f>ROUND(98.64*(1+AD6)*(1+AD5)+AD7,2)</f>
        <v>0</v>
      </c>
      <c r="AU22" s="11" t="str">
        <f>ROUND(103.9*(1+AD6)*(1+AD5)+AD7,2)</f>
        <v>0</v>
      </c>
      <c r="AV22" s="11" t="str">
        <f>ROUND(109.79*(1+AD6)*(1+AD5)+AD7,2)</f>
        <v>0</v>
      </c>
      <c r="AW22" s="11" t="str">
        <f>ROUND(116.21*(1+AD6)*(1+AD5)+AD7,2)</f>
        <v>0</v>
      </c>
      <c r="AX22" s="11" t="str">
        <f>ROUND(121.28*(1+AD6)*(1+AD5)+AD7,2)</f>
        <v>0</v>
      </c>
      <c r="AY22" s="11" t="str">
        <f>ROUND(126.76*(1+AD6)*(1+AD5)+AD7,2)</f>
        <v>0</v>
      </c>
      <c r="AZ22" s="11" t="str">
        <f>ROUND(131.94*(1+AD6)*(1+AD5)+AD7,2)</f>
        <v>0</v>
      </c>
      <c r="BA22" s="11" t="str">
        <f>ROUND(137.3*(1+AD6)*(1+AD5)+AD7,2)</f>
        <v>0</v>
      </c>
      <c r="BB22" s="11" t="str">
        <f>ROUND(144.35*(1+AD6)*(1+AD5)+AD7,2)</f>
        <v>0</v>
      </c>
      <c r="BC22" s="11" t="str">
        <f>ROUND(152.28*(1+AD6)*(1+AD5)+AD7,2)</f>
        <v>0</v>
      </c>
      <c r="BD22" s="11" t="str">
        <f>ROUND(159.45*(1+AD6)*(1+AD5)+AD7,2)</f>
        <v>0</v>
      </c>
      <c r="BE22" t="str">
        <f>ROUND(164.61*(1+AD6)*(1+AD5)+AD7,2)</f>
        <v>0</v>
      </c>
      <c r="BF22" t="str">
        <f>ROUND(170.09*(1+AD6)*(1+AD5)+AD7,2)</f>
        <v>0</v>
      </c>
    </row>
    <row r="23" spans="1:58">
      <c r="A23" s="11"/>
      <c r="B23" s="13"/>
      <c r="C23" s="17">
        <v>1800</v>
      </c>
      <c r="D23" s="11">
        <v>44.16</v>
      </c>
      <c r="E23" s="11">
        <v>49.33</v>
      </c>
      <c r="F23" s="11">
        <v>54.5</v>
      </c>
      <c r="G23" s="11">
        <v>59.75</v>
      </c>
      <c r="H23" s="11">
        <v>65.7</v>
      </c>
      <c r="I23" s="11">
        <v>71.72</v>
      </c>
      <c r="J23" s="11">
        <v>77.81</v>
      </c>
      <c r="K23" s="11">
        <v>83.28</v>
      </c>
      <c r="L23" s="11">
        <v>89.15</v>
      </c>
      <c r="M23" s="11">
        <v>94.56</v>
      </c>
      <c r="N23" s="11">
        <v>99.97</v>
      </c>
      <c r="O23" s="11">
        <v>105.35</v>
      </c>
      <c r="P23" s="11">
        <v>111.29</v>
      </c>
      <c r="Q23" s="11">
        <v>117.85</v>
      </c>
      <c r="R23" s="11">
        <v>123.01</v>
      </c>
      <c r="S23" s="11">
        <v>128.59</v>
      </c>
      <c r="T23" s="11">
        <v>133.84</v>
      </c>
      <c r="U23" s="11">
        <v>139.33</v>
      </c>
      <c r="V23" s="11">
        <v>146.46</v>
      </c>
      <c r="W23" s="11">
        <v>154.49</v>
      </c>
      <c r="X23" s="11">
        <v>161.75</v>
      </c>
      <c r="Y23" s="11">
        <v>167.01</v>
      </c>
      <c r="Z23" s="11">
        <v>172.56</v>
      </c>
      <c r="AA23" s="11"/>
      <c r="AB23" s="11"/>
      <c r="AC23" s="11"/>
      <c r="AD23" s="11"/>
      <c r="AE23" s="11"/>
      <c r="AF23" s="11"/>
      <c r="AG23" s="12"/>
      <c r="AH23" s="13"/>
      <c r="AI23" s="17">
        <v>1800</v>
      </c>
      <c r="AJ23" s="11" t="str">
        <f>ROUND(44.16*(1+AD6)*(1+AD5)+AD7,2)</f>
        <v>0</v>
      </c>
      <c r="AK23" s="11" t="str">
        <f>ROUND(49.33*(1+AD6)*(1+AD5)+AD7,2)</f>
        <v>0</v>
      </c>
      <c r="AL23" s="11" t="str">
        <f>ROUND(54.5*(1+AD6)*(1+AD5)+AD7,2)</f>
        <v>0</v>
      </c>
      <c r="AM23" s="11" t="str">
        <f>ROUND(59.75*(1+AD6)*(1+AD5)+AD7,2)</f>
        <v>0</v>
      </c>
      <c r="AN23" s="11" t="str">
        <f>ROUND(65.7*(1+AD6)*(1+AD5)+AD7,2)</f>
        <v>0</v>
      </c>
      <c r="AO23" s="11" t="str">
        <f>ROUND(71.72*(1+AD6)*(1+AD5)+AD7,2)</f>
        <v>0</v>
      </c>
      <c r="AP23" s="11" t="str">
        <f>ROUND(77.81*(1+AD6)*(1+AD5)+AD7,2)</f>
        <v>0</v>
      </c>
      <c r="AQ23" s="11" t="str">
        <f>ROUND(83.28*(1+AD6)*(1+AD5)+AD7,2)</f>
        <v>0</v>
      </c>
      <c r="AR23" s="11" t="str">
        <f>ROUND(89.15*(1+AD6)*(1+AD5)+AD7,2)</f>
        <v>0</v>
      </c>
      <c r="AS23" s="11" t="str">
        <f>ROUND(94.56*(1+AD6)*(1+AD5)+AD7,2)</f>
        <v>0</v>
      </c>
      <c r="AT23" s="11" t="str">
        <f>ROUND(99.97*(1+AD6)*(1+AD5)+AD7,2)</f>
        <v>0</v>
      </c>
      <c r="AU23" s="11" t="str">
        <f>ROUND(105.35*(1+AD6)*(1+AD5)+AD7,2)</f>
        <v>0</v>
      </c>
      <c r="AV23" s="11" t="str">
        <f>ROUND(111.29*(1+AD6)*(1+AD5)+AD7,2)</f>
        <v>0</v>
      </c>
      <c r="AW23" s="11" t="str">
        <f>ROUND(117.85*(1+AD6)*(1+AD5)+AD7,2)</f>
        <v>0</v>
      </c>
      <c r="AX23" s="11" t="str">
        <f>ROUND(123.01*(1+AD6)*(1+AD5)+AD7,2)</f>
        <v>0</v>
      </c>
      <c r="AY23" s="11" t="str">
        <f>ROUND(128.59*(1+AD6)*(1+AD5)+AD7,2)</f>
        <v>0</v>
      </c>
      <c r="AZ23" s="11" t="str">
        <f>ROUND(133.84*(1+AD6)*(1+AD5)+AD7,2)</f>
        <v>0</v>
      </c>
      <c r="BA23" s="11" t="str">
        <f>ROUND(139.33*(1+AD6)*(1+AD5)+AD7,2)</f>
        <v>0</v>
      </c>
      <c r="BB23" s="11" t="str">
        <f>ROUND(146.46*(1+AD6)*(1+AD5)+AD7,2)</f>
        <v>0</v>
      </c>
      <c r="BC23" s="11" t="str">
        <f>ROUND(154.49*(1+AD6)*(1+AD5)+AD7,2)</f>
        <v>0</v>
      </c>
      <c r="BD23" s="11" t="str">
        <f>ROUND(161.75*(1+AD6)*(1+AD5)+AD7,2)</f>
        <v>0</v>
      </c>
      <c r="BE23" t="str">
        <f>ROUND(167.01*(1+AD6)*(1+AD5)+AD7,2)</f>
        <v>0</v>
      </c>
      <c r="BF23" t="str">
        <f>ROUND(172.56*(1+AD6)*(1+AD5)+AD7,2)</f>
        <v>0</v>
      </c>
    </row>
    <row r="24" spans="1:58">
      <c r="A24" s="11"/>
      <c r="B24" s="13"/>
      <c r="C24" s="17">
        <v>1900</v>
      </c>
      <c r="D24" s="11">
        <v>44.51</v>
      </c>
      <c r="E24" s="11">
        <v>49.8</v>
      </c>
      <c r="F24" s="11">
        <v>55.04</v>
      </c>
      <c r="G24" s="11">
        <v>60.38</v>
      </c>
      <c r="H24" s="11">
        <v>66.47</v>
      </c>
      <c r="I24" s="11">
        <v>72.58</v>
      </c>
      <c r="J24" s="11">
        <v>78.75</v>
      </c>
      <c r="K24" s="11">
        <v>84.28</v>
      </c>
      <c r="L24" s="11">
        <v>90.27</v>
      </c>
      <c r="M24" s="11">
        <v>95.79</v>
      </c>
      <c r="N24" s="11">
        <v>101.3</v>
      </c>
      <c r="O24" s="11">
        <v>106.78</v>
      </c>
      <c r="P24" s="11">
        <v>112.83</v>
      </c>
      <c r="Q24" s="11">
        <v>119.46</v>
      </c>
      <c r="R24" s="11">
        <v>124.72</v>
      </c>
      <c r="S24" s="11">
        <v>130.42</v>
      </c>
      <c r="T24" s="11">
        <v>135.79</v>
      </c>
      <c r="U24" s="11">
        <v>141.32</v>
      </c>
      <c r="V24" s="11">
        <v>148.58</v>
      </c>
      <c r="W24" s="11">
        <v>156.73</v>
      </c>
      <c r="X24" s="11">
        <v>164.06</v>
      </c>
      <c r="Y24" s="11">
        <v>169.43</v>
      </c>
      <c r="Z24" s="11">
        <v>175.07</v>
      </c>
      <c r="AA24" s="11"/>
      <c r="AB24" s="11"/>
      <c r="AC24" s="11"/>
      <c r="AD24" s="11"/>
      <c r="AE24" s="11"/>
      <c r="AF24" s="11"/>
      <c r="AG24" s="12"/>
      <c r="AH24" s="13"/>
      <c r="AI24" s="17">
        <v>1900</v>
      </c>
      <c r="AJ24" s="11" t="str">
        <f>ROUND(44.51*(1+AD6)*(1+AD5)+AD7,2)</f>
        <v>0</v>
      </c>
      <c r="AK24" s="11" t="str">
        <f>ROUND(49.8*(1+AD6)*(1+AD5)+AD7,2)</f>
        <v>0</v>
      </c>
      <c r="AL24" s="11" t="str">
        <f>ROUND(55.04*(1+AD6)*(1+AD5)+AD7,2)</f>
        <v>0</v>
      </c>
      <c r="AM24" s="11" t="str">
        <f>ROUND(60.38*(1+AD6)*(1+AD5)+AD7,2)</f>
        <v>0</v>
      </c>
      <c r="AN24" s="11" t="str">
        <f>ROUND(66.47*(1+AD6)*(1+AD5)+AD7,2)</f>
        <v>0</v>
      </c>
      <c r="AO24" s="11" t="str">
        <f>ROUND(72.58*(1+AD6)*(1+AD5)+AD7,2)</f>
        <v>0</v>
      </c>
      <c r="AP24" s="11" t="str">
        <f>ROUND(78.75*(1+AD6)*(1+AD5)+AD7,2)</f>
        <v>0</v>
      </c>
      <c r="AQ24" s="11" t="str">
        <f>ROUND(84.28*(1+AD6)*(1+AD5)+AD7,2)</f>
        <v>0</v>
      </c>
      <c r="AR24" s="11" t="str">
        <f>ROUND(90.27*(1+AD6)*(1+AD5)+AD7,2)</f>
        <v>0</v>
      </c>
      <c r="AS24" s="11" t="str">
        <f>ROUND(95.79*(1+AD6)*(1+AD5)+AD7,2)</f>
        <v>0</v>
      </c>
      <c r="AT24" s="11" t="str">
        <f>ROUND(101.3*(1+AD6)*(1+AD5)+AD7,2)</f>
        <v>0</v>
      </c>
      <c r="AU24" s="11" t="str">
        <f>ROUND(106.78*(1+AD6)*(1+AD5)+AD7,2)</f>
        <v>0</v>
      </c>
      <c r="AV24" s="11" t="str">
        <f>ROUND(112.83*(1+AD6)*(1+AD5)+AD7,2)</f>
        <v>0</v>
      </c>
      <c r="AW24" s="11" t="str">
        <f>ROUND(119.46*(1+AD6)*(1+AD5)+AD7,2)</f>
        <v>0</v>
      </c>
      <c r="AX24" s="11" t="str">
        <f>ROUND(124.72*(1+AD6)*(1+AD5)+AD7,2)</f>
        <v>0</v>
      </c>
      <c r="AY24" s="11" t="str">
        <f>ROUND(130.42*(1+AD6)*(1+AD5)+AD7,2)</f>
        <v>0</v>
      </c>
      <c r="AZ24" s="11" t="str">
        <f>ROUND(135.79*(1+AD6)*(1+AD5)+AD7,2)</f>
        <v>0</v>
      </c>
      <c r="BA24" s="11" t="str">
        <f>ROUND(141.32*(1+AD6)*(1+AD5)+AD7,2)</f>
        <v>0</v>
      </c>
      <c r="BB24" s="11" t="str">
        <f>ROUND(148.58*(1+AD6)*(1+AD5)+AD7,2)</f>
        <v>0</v>
      </c>
      <c r="BC24" s="11" t="str">
        <f>ROUND(156.73*(1+AD6)*(1+AD5)+AD7,2)</f>
        <v>0</v>
      </c>
      <c r="BD24" s="11" t="str">
        <f>ROUND(164.06*(1+AD6)*(1+AD5)+AD7,2)</f>
        <v>0</v>
      </c>
      <c r="BE24" t="str">
        <f>ROUND(169.43*(1+AD6)*(1+AD5)+AD7,2)</f>
        <v>0</v>
      </c>
      <c r="BF24" t="str">
        <f>ROUND(175.07*(1+AD6)*(1+AD5)+AD7,2)</f>
        <v>0</v>
      </c>
    </row>
    <row r="25" spans="1:58">
      <c r="A25" s="11"/>
      <c r="B25" s="13"/>
      <c r="C25" s="17">
        <v>2000</v>
      </c>
      <c r="D25" s="11">
        <v>44.84</v>
      </c>
      <c r="E25" s="11">
        <v>50.21</v>
      </c>
      <c r="F25" s="11">
        <v>55.59</v>
      </c>
      <c r="G25" s="11">
        <v>61.02</v>
      </c>
      <c r="H25" s="11">
        <v>67.22</v>
      </c>
      <c r="I25" s="11">
        <v>73.4</v>
      </c>
      <c r="J25" s="11">
        <v>79.67</v>
      </c>
      <c r="K25" s="11">
        <v>85.37</v>
      </c>
      <c r="L25" s="11">
        <v>91.42</v>
      </c>
      <c r="M25" s="11">
        <v>97.02</v>
      </c>
      <c r="N25" s="11">
        <v>102.64</v>
      </c>
      <c r="O25" s="11">
        <v>108.22</v>
      </c>
      <c r="P25" s="11">
        <v>114.35</v>
      </c>
      <c r="Q25" s="11">
        <v>121.1</v>
      </c>
      <c r="R25" s="11">
        <v>126.45</v>
      </c>
      <c r="S25" s="11">
        <v>132.23</v>
      </c>
      <c r="T25" s="11">
        <v>137.69</v>
      </c>
      <c r="U25" s="11">
        <v>143.35</v>
      </c>
      <c r="V25" s="11">
        <v>150.72</v>
      </c>
      <c r="W25" s="11">
        <v>158.93</v>
      </c>
      <c r="X25" s="11">
        <v>166.39</v>
      </c>
      <c r="Y25" s="11">
        <v>171.84</v>
      </c>
      <c r="Z25" s="11">
        <v>177.55</v>
      </c>
      <c r="AA25" s="11"/>
      <c r="AB25" s="11"/>
      <c r="AC25" s="11"/>
      <c r="AD25" s="11"/>
      <c r="AE25" s="11"/>
      <c r="AF25" s="11"/>
      <c r="AG25" s="12"/>
      <c r="AH25" s="13"/>
      <c r="AI25" s="17">
        <v>2000</v>
      </c>
      <c r="AJ25" s="11" t="str">
        <f>ROUND(44.84*(1+AD6)*(1+AD5)+AD7,2)</f>
        <v>0</v>
      </c>
      <c r="AK25" s="11" t="str">
        <f>ROUND(50.21*(1+AD6)*(1+AD5)+AD7,2)</f>
        <v>0</v>
      </c>
      <c r="AL25" s="11" t="str">
        <f>ROUND(55.59*(1+AD6)*(1+AD5)+AD7,2)</f>
        <v>0</v>
      </c>
      <c r="AM25" s="11" t="str">
        <f>ROUND(61.02*(1+AD6)*(1+AD5)+AD7,2)</f>
        <v>0</v>
      </c>
      <c r="AN25" s="11" t="str">
        <f>ROUND(67.22*(1+AD6)*(1+AD5)+AD7,2)</f>
        <v>0</v>
      </c>
      <c r="AO25" s="11" t="str">
        <f>ROUND(73.4*(1+AD6)*(1+AD5)+AD7,2)</f>
        <v>0</v>
      </c>
      <c r="AP25" s="11" t="str">
        <f>ROUND(79.67*(1+AD6)*(1+AD5)+AD7,2)</f>
        <v>0</v>
      </c>
      <c r="AQ25" s="11" t="str">
        <f>ROUND(85.37*(1+AD6)*(1+AD5)+AD7,2)</f>
        <v>0</v>
      </c>
      <c r="AR25" s="11" t="str">
        <f>ROUND(91.42*(1+AD6)*(1+AD5)+AD7,2)</f>
        <v>0</v>
      </c>
      <c r="AS25" s="11" t="str">
        <f>ROUND(97.02*(1+AD6)*(1+AD5)+AD7,2)</f>
        <v>0</v>
      </c>
      <c r="AT25" s="11" t="str">
        <f>ROUND(102.64*(1+AD6)*(1+AD5)+AD7,2)</f>
        <v>0</v>
      </c>
      <c r="AU25" s="11" t="str">
        <f>ROUND(108.22*(1+AD6)*(1+AD5)+AD7,2)</f>
        <v>0</v>
      </c>
      <c r="AV25" s="11" t="str">
        <f>ROUND(114.35*(1+AD6)*(1+AD5)+AD7,2)</f>
        <v>0</v>
      </c>
      <c r="AW25" s="11" t="str">
        <f>ROUND(121.1*(1+AD6)*(1+AD5)+AD7,2)</f>
        <v>0</v>
      </c>
      <c r="AX25" s="11" t="str">
        <f>ROUND(126.45*(1+AD6)*(1+AD5)+AD7,2)</f>
        <v>0</v>
      </c>
      <c r="AY25" s="11" t="str">
        <f>ROUND(132.23*(1+AD6)*(1+AD5)+AD7,2)</f>
        <v>0</v>
      </c>
      <c r="AZ25" s="11" t="str">
        <f>ROUND(137.69*(1+AD6)*(1+AD5)+AD7,2)</f>
        <v>0</v>
      </c>
      <c r="BA25" s="11" t="str">
        <f>ROUND(143.35*(1+AD6)*(1+AD5)+AD7,2)</f>
        <v>0</v>
      </c>
      <c r="BB25" s="11" t="str">
        <f>ROUND(150.72*(1+AD6)*(1+AD5)+AD7,2)</f>
        <v>0</v>
      </c>
      <c r="BC25" s="11" t="str">
        <f>ROUND(158.93*(1+AD6)*(1+AD5)+AD7,2)</f>
        <v>0</v>
      </c>
      <c r="BD25" s="11" t="str">
        <f>ROUND(166.39*(1+AD6)*(1+AD5)+AD7,2)</f>
        <v>0</v>
      </c>
      <c r="BE25" t="str">
        <f>ROUND(171.84*(1+AD6)*(1+AD5)+AD7,2)</f>
        <v>0</v>
      </c>
      <c r="BF25" t="str">
        <f>ROUND(177.55*(1+AD6)*(1+AD5)+AD7,2)</f>
        <v>0</v>
      </c>
    </row>
    <row r="26" spans="1:58">
      <c r="A26" s="11"/>
      <c r="B26" s="13"/>
      <c r="C26" s="17">
        <v>2100</v>
      </c>
      <c r="D26" s="11">
        <v>45.19</v>
      </c>
      <c r="E26" s="11">
        <v>50.68</v>
      </c>
      <c r="F26" s="11">
        <v>56.14</v>
      </c>
      <c r="G26" s="11">
        <v>61.65</v>
      </c>
      <c r="H26" s="11">
        <v>67.95</v>
      </c>
      <c r="I26" s="11">
        <v>74.25</v>
      </c>
      <c r="J26" s="11">
        <v>80.63</v>
      </c>
      <c r="K26" s="11">
        <v>86.4</v>
      </c>
      <c r="L26" s="11">
        <v>92.56</v>
      </c>
      <c r="M26" s="11">
        <v>98.23</v>
      </c>
      <c r="N26" s="11">
        <v>103.96</v>
      </c>
      <c r="O26" s="11">
        <v>109.63</v>
      </c>
      <c r="P26" s="11">
        <v>115.88</v>
      </c>
      <c r="Q26" s="11">
        <v>122.71</v>
      </c>
      <c r="R26" s="11">
        <v>128.18</v>
      </c>
      <c r="S26" s="11">
        <v>134.05</v>
      </c>
      <c r="T26" s="11">
        <v>139.59</v>
      </c>
      <c r="U26" s="11">
        <v>145.37</v>
      </c>
      <c r="V26" s="11">
        <v>152.82</v>
      </c>
      <c r="W26" s="11">
        <v>161.17</v>
      </c>
      <c r="X26" s="11">
        <v>168.71</v>
      </c>
      <c r="Y26" s="11">
        <v>174.27</v>
      </c>
      <c r="Z26" s="11">
        <v>180.02</v>
      </c>
      <c r="AA26" s="11"/>
      <c r="AB26" s="11"/>
      <c r="AC26" s="11"/>
      <c r="AD26" s="11"/>
      <c r="AE26" s="11"/>
      <c r="AF26" s="11"/>
      <c r="AG26" s="12"/>
      <c r="AH26" s="13"/>
      <c r="AI26" s="17">
        <v>2100</v>
      </c>
      <c r="AJ26" s="11" t="str">
        <f>ROUND(45.19*(1+AD6)*(1+AD5)+AD7,2)</f>
        <v>0</v>
      </c>
      <c r="AK26" s="11" t="str">
        <f>ROUND(50.68*(1+AD6)*(1+AD5)+AD7,2)</f>
        <v>0</v>
      </c>
      <c r="AL26" s="11" t="str">
        <f>ROUND(56.14*(1+AD6)*(1+AD5)+AD7,2)</f>
        <v>0</v>
      </c>
      <c r="AM26" s="11" t="str">
        <f>ROUND(61.65*(1+AD6)*(1+AD5)+AD7,2)</f>
        <v>0</v>
      </c>
      <c r="AN26" s="11" t="str">
        <f>ROUND(67.95*(1+AD6)*(1+AD5)+AD7,2)</f>
        <v>0</v>
      </c>
      <c r="AO26" s="11" t="str">
        <f>ROUND(74.25*(1+AD6)*(1+AD5)+AD7,2)</f>
        <v>0</v>
      </c>
      <c r="AP26" s="11" t="str">
        <f>ROUND(80.63*(1+AD6)*(1+AD5)+AD7,2)</f>
        <v>0</v>
      </c>
      <c r="AQ26" s="11" t="str">
        <f>ROUND(86.4*(1+AD6)*(1+AD5)+AD7,2)</f>
        <v>0</v>
      </c>
      <c r="AR26" s="11" t="str">
        <f>ROUND(92.56*(1+AD6)*(1+AD5)+AD7,2)</f>
        <v>0</v>
      </c>
      <c r="AS26" s="11" t="str">
        <f>ROUND(98.23*(1+AD6)*(1+AD5)+AD7,2)</f>
        <v>0</v>
      </c>
      <c r="AT26" s="11" t="str">
        <f>ROUND(103.96*(1+AD6)*(1+AD5)+AD7,2)</f>
        <v>0</v>
      </c>
      <c r="AU26" s="11" t="str">
        <f>ROUND(109.63*(1+AD6)*(1+AD5)+AD7,2)</f>
        <v>0</v>
      </c>
      <c r="AV26" s="11" t="str">
        <f>ROUND(115.88*(1+AD6)*(1+AD5)+AD7,2)</f>
        <v>0</v>
      </c>
      <c r="AW26" s="11" t="str">
        <f>ROUND(122.71*(1+AD6)*(1+AD5)+AD7,2)</f>
        <v>0</v>
      </c>
      <c r="AX26" s="11" t="str">
        <f>ROUND(128.18*(1+AD6)*(1+AD5)+AD7,2)</f>
        <v>0</v>
      </c>
      <c r="AY26" s="11" t="str">
        <f>ROUND(134.05*(1+AD6)*(1+AD5)+AD7,2)</f>
        <v>0</v>
      </c>
      <c r="AZ26" s="11" t="str">
        <f>ROUND(139.59*(1+AD6)*(1+AD5)+AD7,2)</f>
        <v>0</v>
      </c>
      <c r="BA26" s="11" t="str">
        <f>ROUND(145.37*(1+AD6)*(1+AD5)+AD7,2)</f>
        <v>0</v>
      </c>
      <c r="BB26" s="11" t="str">
        <f>ROUND(152.82*(1+AD6)*(1+AD5)+AD7,2)</f>
        <v>0</v>
      </c>
      <c r="BC26" s="11" t="str">
        <f>ROUND(161.17*(1+AD6)*(1+AD5)+AD7,2)</f>
        <v>0</v>
      </c>
      <c r="BD26" s="11" t="str">
        <f>ROUND(168.71*(1+AD6)*(1+AD5)+AD7,2)</f>
        <v>0</v>
      </c>
      <c r="BE26" t="str">
        <f>ROUND(174.27*(1+AD6)*(1+AD5)+AD7,2)</f>
        <v>0</v>
      </c>
      <c r="BF26" t="str">
        <f>ROUND(180.02*(1+AD6)*(1+AD5)+AD7,2)</f>
        <v>0</v>
      </c>
    </row>
    <row r="27" spans="1:58">
      <c r="A27" s="11"/>
      <c r="B27" s="13"/>
      <c r="C27" s="17">
        <v>2200</v>
      </c>
      <c r="D27" s="11">
        <v>45.55</v>
      </c>
      <c r="E27" s="11">
        <v>51.13</v>
      </c>
      <c r="F27" s="11">
        <v>56.66</v>
      </c>
      <c r="G27" s="11">
        <v>62.32</v>
      </c>
      <c r="H27" s="11">
        <v>68.68</v>
      </c>
      <c r="I27" s="11">
        <v>75.09</v>
      </c>
      <c r="J27" s="11">
        <v>81.67</v>
      </c>
      <c r="K27" s="11">
        <v>87.43</v>
      </c>
      <c r="L27" s="11">
        <v>93.68</v>
      </c>
      <c r="M27" s="11">
        <v>99.49</v>
      </c>
      <c r="N27" s="11">
        <v>105.29</v>
      </c>
      <c r="O27" s="11">
        <v>111.05</v>
      </c>
      <c r="P27" s="11">
        <v>117.41</v>
      </c>
      <c r="Q27" s="11">
        <v>124.34</v>
      </c>
      <c r="R27" s="11">
        <v>129.9</v>
      </c>
      <c r="S27" s="11">
        <v>135.9</v>
      </c>
      <c r="T27" s="11">
        <v>141.54</v>
      </c>
      <c r="U27" s="11">
        <v>147.43</v>
      </c>
      <c r="V27" s="11">
        <v>154.94</v>
      </c>
      <c r="W27" s="11">
        <v>163.38</v>
      </c>
      <c r="X27" s="11">
        <v>171.02</v>
      </c>
      <c r="Y27" s="11">
        <v>176.69</v>
      </c>
      <c r="Z27" s="11">
        <v>182.53</v>
      </c>
      <c r="AA27" s="11"/>
      <c r="AB27" s="11"/>
      <c r="AC27" s="11"/>
      <c r="AD27" s="11"/>
      <c r="AE27" s="11"/>
      <c r="AF27" s="11"/>
      <c r="AG27" s="12"/>
      <c r="AH27" s="13"/>
      <c r="AI27" s="17">
        <v>2200</v>
      </c>
      <c r="AJ27" s="11" t="str">
        <f>ROUND(45.55*(1+AD6)*(1+AD5)+AD7,2)</f>
        <v>0</v>
      </c>
      <c r="AK27" s="11" t="str">
        <f>ROUND(51.13*(1+AD6)*(1+AD5)+AD7,2)</f>
        <v>0</v>
      </c>
      <c r="AL27" s="11" t="str">
        <f>ROUND(56.66*(1+AD6)*(1+AD5)+AD7,2)</f>
        <v>0</v>
      </c>
      <c r="AM27" s="11" t="str">
        <f>ROUND(62.32*(1+AD6)*(1+AD5)+AD7,2)</f>
        <v>0</v>
      </c>
      <c r="AN27" s="11" t="str">
        <f>ROUND(68.68*(1+AD6)*(1+AD5)+AD7,2)</f>
        <v>0</v>
      </c>
      <c r="AO27" s="11" t="str">
        <f>ROUND(75.09*(1+AD6)*(1+AD5)+AD7,2)</f>
        <v>0</v>
      </c>
      <c r="AP27" s="11" t="str">
        <f>ROUND(81.67*(1+AD6)*(1+AD5)+AD7,2)</f>
        <v>0</v>
      </c>
      <c r="AQ27" s="11" t="str">
        <f>ROUND(87.43*(1+AD6)*(1+AD5)+AD7,2)</f>
        <v>0</v>
      </c>
      <c r="AR27" s="11" t="str">
        <f>ROUND(93.68*(1+AD6)*(1+AD5)+AD7,2)</f>
        <v>0</v>
      </c>
      <c r="AS27" s="11" t="str">
        <f>ROUND(99.49*(1+AD6)*(1+AD5)+AD7,2)</f>
        <v>0</v>
      </c>
      <c r="AT27" s="11" t="str">
        <f>ROUND(105.29*(1+AD6)*(1+AD5)+AD7,2)</f>
        <v>0</v>
      </c>
      <c r="AU27" s="11" t="str">
        <f>ROUND(111.05*(1+AD6)*(1+AD5)+AD7,2)</f>
        <v>0</v>
      </c>
      <c r="AV27" s="11" t="str">
        <f>ROUND(117.41*(1+AD6)*(1+AD5)+AD7,2)</f>
        <v>0</v>
      </c>
      <c r="AW27" s="11" t="str">
        <f>ROUND(124.34*(1+AD6)*(1+AD5)+AD7,2)</f>
        <v>0</v>
      </c>
      <c r="AX27" s="11" t="str">
        <f>ROUND(129.9*(1+AD6)*(1+AD5)+AD7,2)</f>
        <v>0</v>
      </c>
      <c r="AY27" s="11" t="str">
        <f>ROUND(135.9*(1+AD6)*(1+AD5)+AD7,2)</f>
        <v>0</v>
      </c>
      <c r="AZ27" s="11" t="str">
        <f>ROUND(141.54*(1+AD6)*(1+AD5)+AD7,2)</f>
        <v>0</v>
      </c>
      <c r="BA27" s="11" t="str">
        <f>ROUND(147.43*(1+AD6)*(1+AD5)+AD7,2)</f>
        <v>0</v>
      </c>
      <c r="BB27" s="11" t="str">
        <f>ROUND(154.94*(1+AD6)*(1+AD5)+AD7,2)</f>
        <v>0</v>
      </c>
      <c r="BC27" s="11" t="str">
        <f>ROUND(163.38*(1+AD6)*(1+AD5)+AD7,2)</f>
        <v>0</v>
      </c>
      <c r="BD27" s="11" t="str">
        <f>ROUND(171.02*(1+AD6)*(1+AD5)+AD7,2)</f>
        <v>0</v>
      </c>
      <c r="BE27" t="str">
        <f>ROUND(176.69*(1+AD6)*(1+AD5)+AD7,2)</f>
        <v>0</v>
      </c>
      <c r="BF27" t="str">
        <f>ROUND(182.53*(1+AD6)*(1+AD5)+AD7,2)</f>
        <v>0</v>
      </c>
    </row>
    <row r="28" spans="1:58">
      <c r="A28" s="11"/>
      <c r="B28" s="13"/>
      <c r="C28" s="17">
        <v>2300</v>
      </c>
      <c r="D28" s="11">
        <v>45.9</v>
      </c>
      <c r="E28" s="11">
        <v>51.58</v>
      </c>
      <c r="F28" s="11">
        <v>57.22</v>
      </c>
      <c r="G28" s="11">
        <v>62.94</v>
      </c>
      <c r="H28" s="11">
        <v>69.41</v>
      </c>
      <c r="I28" s="11">
        <v>75.92</v>
      </c>
      <c r="J28" s="11">
        <v>82.5</v>
      </c>
      <c r="K28" s="11">
        <v>88.46</v>
      </c>
      <c r="L28" s="11">
        <v>94.82</v>
      </c>
      <c r="M28" s="11">
        <v>100.7</v>
      </c>
      <c r="N28" s="11">
        <v>105.57</v>
      </c>
      <c r="O28" s="11">
        <v>112.48</v>
      </c>
      <c r="P28" s="11">
        <v>118.94</v>
      </c>
      <c r="Q28" s="11">
        <v>125.94</v>
      </c>
      <c r="R28" s="11">
        <v>131.62</v>
      </c>
      <c r="S28" s="11">
        <v>137.7</v>
      </c>
      <c r="T28" s="11">
        <v>143.43</v>
      </c>
      <c r="U28" s="11">
        <v>149.44</v>
      </c>
      <c r="V28" s="11">
        <v>157.07</v>
      </c>
      <c r="W28" s="11">
        <v>165.57</v>
      </c>
      <c r="X28" s="11">
        <v>173.32</v>
      </c>
      <c r="Y28" s="11">
        <v>179.09</v>
      </c>
      <c r="Z28" s="11">
        <v>184.99</v>
      </c>
      <c r="AA28" s="11"/>
      <c r="AB28" s="11"/>
      <c r="AC28" s="11"/>
      <c r="AD28" s="11"/>
      <c r="AE28" s="11"/>
      <c r="AF28" s="11"/>
      <c r="AG28" s="12"/>
      <c r="AH28" s="13"/>
      <c r="AI28" s="17">
        <v>2300</v>
      </c>
      <c r="AJ28" s="11" t="str">
        <f>ROUND(45.9*(1+AD6)*(1+AD5)+AD7,2)</f>
        <v>0</v>
      </c>
      <c r="AK28" s="11" t="str">
        <f>ROUND(51.58*(1+AD6)*(1+AD5)+AD7,2)</f>
        <v>0</v>
      </c>
      <c r="AL28" s="11" t="str">
        <f>ROUND(57.22*(1+AD6)*(1+AD5)+AD7,2)</f>
        <v>0</v>
      </c>
      <c r="AM28" s="11" t="str">
        <f>ROUND(62.94*(1+AD6)*(1+AD5)+AD7,2)</f>
        <v>0</v>
      </c>
      <c r="AN28" s="11" t="str">
        <f>ROUND(69.41*(1+AD6)*(1+AD5)+AD7,2)</f>
        <v>0</v>
      </c>
      <c r="AO28" s="11" t="str">
        <f>ROUND(75.92*(1+AD6)*(1+AD5)+AD7,2)</f>
        <v>0</v>
      </c>
      <c r="AP28" s="11" t="str">
        <f>ROUND(82.5*(1+AD6)*(1+AD5)+AD7,2)</f>
        <v>0</v>
      </c>
      <c r="AQ28" s="11" t="str">
        <f>ROUND(88.46*(1+AD6)*(1+AD5)+AD7,2)</f>
        <v>0</v>
      </c>
      <c r="AR28" s="11" t="str">
        <f>ROUND(94.82*(1+AD6)*(1+AD5)+AD7,2)</f>
        <v>0</v>
      </c>
      <c r="AS28" s="11" t="str">
        <f>ROUND(100.7*(1+AD6)*(1+AD5)+AD7,2)</f>
        <v>0</v>
      </c>
      <c r="AT28" s="11" t="str">
        <f>ROUND(105.57*(1+AD6)*(1+AD5)+AD7,2)</f>
        <v>0</v>
      </c>
      <c r="AU28" s="11" t="str">
        <f>ROUND(112.48*(1+AD6)*(1+AD5)+AD7,2)</f>
        <v>0</v>
      </c>
      <c r="AV28" s="11" t="str">
        <f>ROUND(118.94*(1+AD6)*(1+AD5)+AD7,2)</f>
        <v>0</v>
      </c>
      <c r="AW28" s="11" t="str">
        <f>ROUND(125.94*(1+AD6)*(1+AD5)+AD7,2)</f>
        <v>0</v>
      </c>
      <c r="AX28" s="11" t="str">
        <f>ROUND(131.62*(1+AD6)*(1+AD5)+AD7,2)</f>
        <v>0</v>
      </c>
      <c r="AY28" s="11" t="str">
        <f>ROUND(137.7*(1+AD6)*(1+AD5)+AD7,2)</f>
        <v>0</v>
      </c>
      <c r="AZ28" s="11" t="str">
        <f>ROUND(143.43*(1+AD6)*(1+AD5)+AD7,2)</f>
        <v>0</v>
      </c>
      <c r="BA28" s="11" t="str">
        <f>ROUND(149.44*(1+AD6)*(1+AD5)+AD7,2)</f>
        <v>0</v>
      </c>
      <c r="BB28" s="11" t="str">
        <f>ROUND(157.07*(1+AD6)*(1+AD5)+AD7,2)</f>
        <v>0</v>
      </c>
      <c r="BC28" s="11" t="str">
        <f>ROUND(165.57*(1+AD6)*(1+AD5)+AD7,2)</f>
        <v>0</v>
      </c>
      <c r="BD28" s="11" t="str">
        <f>ROUND(173.32*(1+AD6)*(1+AD5)+AD7,2)</f>
        <v>0</v>
      </c>
      <c r="BE28" t="str">
        <f>ROUND(179.09*(1+AD6)*(1+AD5)+AD7,2)</f>
        <v>0</v>
      </c>
      <c r="BF28" t="str">
        <f>ROUND(184.99*(1+AD6)*(1+AD5)+AD7,2)</f>
        <v>0</v>
      </c>
    </row>
    <row r="29" spans="1:58">
      <c r="A29" s="11"/>
      <c r="B29" s="13"/>
      <c r="C29" s="17">
        <v>2400</v>
      </c>
      <c r="D29" s="11">
        <v>46.25</v>
      </c>
      <c r="E29" s="11">
        <v>52.01</v>
      </c>
      <c r="F29" s="11">
        <v>57.75</v>
      </c>
      <c r="G29" s="11">
        <v>63.58</v>
      </c>
      <c r="H29" s="11">
        <v>70.15</v>
      </c>
      <c r="I29" s="11">
        <v>76.75</v>
      </c>
      <c r="J29" s="11">
        <v>83.45</v>
      </c>
      <c r="K29" s="11">
        <v>89.51</v>
      </c>
      <c r="L29" s="11">
        <v>95.95</v>
      </c>
      <c r="M29" s="11">
        <v>101.94</v>
      </c>
      <c r="N29" s="11">
        <v>107.97</v>
      </c>
      <c r="O29" s="11">
        <v>113.91</v>
      </c>
      <c r="P29" s="11">
        <v>120.45</v>
      </c>
      <c r="Q29" s="11">
        <v>127.61</v>
      </c>
      <c r="R29" s="11">
        <v>133.37</v>
      </c>
      <c r="S29" s="11">
        <v>139.53</v>
      </c>
      <c r="T29" s="11">
        <v>145.37</v>
      </c>
      <c r="U29" s="11">
        <v>151.46</v>
      </c>
      <c r="V29" s="11">
        <v>159.19</v>
      </c>
      <c r="W29" s="11">
        <v>167.81</v>
      </c>
      <c r="X29" s="11">
        <v>175.64</v>
      </c>
      <c r="Y29" s="11">
        <v>181.51</v>
      </c>
      <c r="Z29" s="11">
        <v>187.48</v>
      </c>
      <c r="AA29" s="11"/>
      <c r="AB29" s="11"/>
      <c r="AC29" s="11"/>
      <c r="AD29" s="11"/>
      <c r="AE29" s="11"/>
      <c r="AF29" s="11"/>
      <c r="AG29" s="12"/>
      <c r="AH29" s="13"/>
      <c r="AI29" s="17">
        <v>2400</v>
      </c>
      <c r="AJ29" s="11" t="str">
        <f>ROUND(46.25*(1+AD6)*(1+AD5)+AD7,2)</f>
        <v>0</v>
      </c>
      <c r="AK29" s="11" t="str">
        <f>ROUND(52.01*(1+AD6)*(1+AD5)+AD7,2)</f>
        <v>0</v>
      </c>
      <c r="AL29" s="11" t="str">
        <f>ROUND(57.75*(1+AD6)*(1+AD5)+AD7,2)</f>
        <v>0</v>
      </c>
      <c r="AM29" s="11" t="str">
        <f>ROUND(63.58*(1+AD6)*(1+AD5)+AD7,2)</f>
        <v>0</v>
      </c>
      <c r="AN29" s="11" t="str">
        <f>ROUND(70.15*(1+AD6)*(1+AD5)+AD7,2)</f>
        <v>0</v>
      </c>
      <c r="AO29" s="11" t="str">
        <f>ROUND(76.75*(1+AD6)*(1+AD5)+AD7,2)</f>
        <v>0</v>
      </c>
      <c r="AP29" s="11" t="str">
        <f>ROUND(83.45*(1+AD6)*(1+AD5)+AD7,2)</f>
        <v>0</v>
      </c>
      <c r="AQ29" s="11" t="str">
        <f>ROUND(89.51*(1+AD6)*(1+AD5)+AD7,2)</f>
        <v>0</v>
      </c>
      <c r="AR29" s="11" t="str">
        <f>ROUND(95.95*(1+AD6)*(1+AD5)+AD7,2)</f>
        <v>0</v>
      </c>
      <c r="AS29" s="11" t="str">
        <f>ROUND(101.94*(1+AD6)*(1+AD5)+AD7,2)</f>
        <v>0</v>
      </c>
      <c r="AT29" s="11" t="str">
        <f>ROUND(107.97*(1+AD6)*(1+AD5)+AD7,2)</f>
        <v>0</v>
      </c>
      <c r="AU29" s="11" t="str">
        <f>ROUND(113.91*(1+AD6)*(1+AD5)+AD7,2)</f>
        <v>0</v>
      </c>
      <c r="AV29" s="11" t="str">
        <f>ROUND(120.45*(1+AD6)*(1+AD5)+AD7,2)</f>
        <v>0</v>
      </c>
      <c r="AW29" s="11" t="str">
        <f>ROUND(127.61*(1+AD6)*(1+AD5)+AD7,2)</f>
        <v>0</v>
      </c>
      <c r="AX29" s="11" t="str">
        <f>ROUND(133.37*(1+AD6)*(1+AD5)+AD7,2)</f>
        <v>0</v>
      </c>
      <c r="AY29" s="11" t="str">
        <f>ROUND(139.53*(1+AD6)*(1+AD5)+AD7,2)</f>
        <v>0</v>
      </c>
      <c r="AZ29" s="11" t="str">
        <f>ROUND(145.37*(1+AD6)*(1+AD5)+AD7,2)</f>
        <v>0</v>
      </c>
      <c r="BA29" s="11" t="str">
        <f>ROUND(151.46*(1+AD6)*(1+AD5)+AD7,2)</f>
        <v>0</v>
      </c>
      <c r="BB29" s="11" t="str">
        <f>ROUND(159.19*(1+AD6)*(1+AD5)+AD7,2)</f>
        <v>0</v>
      </c>
      <c r="BC29" s="11" t="str">
        <f>ROUND(167.81*(1+AD6)*(1+AD5)+AD7,2)</f>
        <v>0</v>
      </c>
      <c r="BD29" s="11" t="str">
        <f>ROUND(175.64*(1+AD6)*(1+AD5)+AD7,2)</f>
        <v>0</v>
      </c>
      <c r="BE29" t="str">
        <f>ROUND(181.51*(1+AD6)*(1+AD5)+AD7,2)</f>
        <v>0</v>
      </c>
      <c r="BF29" t="str">
        <f>ROUND(187.48*(1+AD6)*(1+AD5)+AD7,2)</f>
        <v>0</v>
      </c>
    </row>
    <row r="30" spans="1:58">
      <c r="A30" s="11"/>
      <c r="B30" s="13"/>
      <c r="C30" s="17">
        <v>2500</v>
      </c>
      <c r="D30" s="11">
        <v>47.39</v>
      </c>
      <c r="E30" s="11">
        <v>53.32</v>
      </c>
      <c r="F30" s="11">
        <v>59.24</v>
      </c>
      <c r="G30" s="11">
        <v>65.21</v>
      </c>
      <c r="H30" s="11">
        <v>71.96</v>
      </c>
      <c r="I30" s="11">
        <v>78.72</v>
      </c>
      <c r="J30" s="11">
        <v>85.55</v>
      </c>
      <c r="K30" s="11">
        <v>91.76</v>
      </c>
      <c r="L30" s="11">
        <v>98.4</v>
      </c>
      <c r="M30" s="11">
        <v>104.55</v>
      </c>
      <c r="N30" s="11">
        <v>110.73</v>
      </c>
      <c r="O30" s="11">
        <v>116.84</v>
      </c>
      <c r="P30" s="11">
        <v>123.54</v>
      </c>
      <c r="Q30" s="11">
        <v>130.86</v>
      </c>
      <c r="R30" s="11">
        <v>136.79</v>
      </c>
      <c r="S30" s="11">
        <v>143.11</v>
      </c>
      <c r="T30" s="11">
        <v>149.13</v>
      </c>
      <c r="U30" s="11">
        <v>155.36</v>
      </c>
      <c r="V30" s="11">
        <v>163.27</v>
      </c>
      <c r="W30" s="11">
        <v>172.06</v>
      </c>
      <c r="X30" s="11">
        <v>180.05</v>
      </c>
      <c r="Y30" s="11">
        <v>186.06</v>
      </c>
      <c r="Z30" s="11">
        <v>192.2</v>
      </c>
      <c r="AA30" s="11"/>
      <c r="AB30" s="11"/>
      <c r="AC30" s="11"/>
      <c r="AD30" s="11"/>
      <c r="AE30" s="11"/>
      <c r="AF30" s="11"/>
      <c r="AG30" s="12"/>
      <c r="AH30" s="13"/>
      <c r="AI30" s="17">
        <v>2500</v>
      </c>
      <c r="AJ30" s="11" t="str">
        <f>ROUND(47.39*(1+AD6)*(1+AD5)+AD7,2)</f>
        <v>0</v>
      </c>
      <c r="AK30" s="11" t="str">
        <f>ROUND(53.32*(1+AD6)*(1+AD5)+AD7,2)</f>
        <v>0</v>
      </c>
      <c r="AL30" s="11" t="str">
        <f>ROUND(59.24*(1+AD6)*(1+AD5)+AD7,2)</f>
        <v>0</v>
      </c>
      <c r="AM30" s="11" t="str">
        <f>ROUND(65.21*(1+AD6)*(1+AD5)+AD7,2)</f>
        <v>0</v>
      </c>
      <c r="AN30" s="11" t="str">
        <f>ROUND(71.96*(1+AD6)*(1+AD5)+AD7,2)</f>
        <v>0</v>
      </c>
      <c r="AO30" s="11" t="str">
        <f>ROUND(78.72*(1+AD6)*(1+AD5)+AD7,2)</f>
        <v>0</v>
      </c>
      <c r="AP30" s="11" t="str">
        <f>ROUND(85.55*(1+AD6)*(1+AD5)+AD7,2)</f>
        <v>0</v>
      </c>
      <c r="AQ30" s="11" t="str">
        <f>ROUND(91.76*(1+AD6)*(1+AD5)+AD7,2)</f>
        <v>0</v>
      </c>
      <c r="AR30" s="11" t="str">
        <f>ROUND(98.4*(1+AD6)*(1+AD5)+AD7,2)</f>
        <v>0</v>
      </c>
      <c r="AS30" s="11" t="str">
        <f>ROUND(104.55*(1+AD6)*(1+AD5)+AD7,2)</f>
        <v>0</v>
      </c>
      <c r="AT30" s="11" t="str">
        <f>ROUND(110.73*(1+AD6)*(1+AD5)+AD7,2)</f>
        <v>0</v>
      </c>
      <c r="AU30" s="11" t="str">
        <f>ROUND(116.84*(1+AD6)*(1+AD5)+AD7,2)</f>
        <v>0</v>
      </c>
      <c r="AV30" s="11" t="str">
        <f>ROUND(123.54*(1+AD6)*(1+AD5)+AD7,2)</f>
        <v>0</v>
      </c>
      <c r="AW30" s="11" t="str">
        <f>ROUND(130.86*(1+AD6)*(1+AD5)+AD7,2)</f>
        <v>0</v>
      </c>
      <c r="AX30" s="11" t="str">
        <f>ROUND(136.79*(1+AD6)*(1+AD5)+AD7,2)</f>
        <v>0</v>
      </c>
      <c r="AY30" s="11" t="str">
        <f>ROUND(143.11*(1+AD6)*(1+AD5)+AD7,2)</f>
        <v>0</v>
      </c>
      <c r="AZ30" s="11" t="str">
        <f>ROUND(149.13*(1+AD6)*(1+AD5)+AD7,2)</f>
        <v>0</v>
      </c>
      <c r="BA30" s="11" t="str">
        <f>ROUND(155.36*(1+AD6)*(1+AD5)+AD7,2)</f>
        <v>0</v>
      </c>
      <c r="BB30" s="11" t="str">
        <f>ROUND(163.27*(1+AD6)*(1+AD5)+AD7,2)</f>
        <v>0</v>
      </c>
      <c r="BC30" s="11" t="str">
        <f>ROUND(172.06*(1+AD6)*(1+AD5)+AD7,2)</f>
        <v>0</v>
      </c>
      <c r="BD30" s="11" t="str">
        <f>ROUND(180.05*(1+AD6)*(1+AD5)+AD7,2)</f>
        <v>0</v>
      </c>
      <c r="BE30" t="str">
        <f>ROUND(186.06*(1+AD6)*(1+AD5)+AD7,2)</f>
        <v>0</v>
      </c>
      <c r="BF30" t="str">
        <f>ROUND(192.2*(1+AD6)*(1+AD5)+AD7,2)</f>
        <v>0</v>
      </c>
    </row>
    <row r="31" spans="1:58">
      <c r="A31" s="11"/>
      <c r="B31" s="13"/>
      <c r="C31" s="17">
        <v>2600</v>
      </c>
      <c r="D31" s="11">
        <v>49.76</v>
      </c>
      <c r="E31" s="11">
        <v>55.98</v>
      </c>
      <c r="F31" s="11">
        <v>62.21</v>
      </c>
      <c r="G31" s="11">
        <v>68.48</v>
      </c>
      <c r="H31" s="11">
        <v>75.56</v>
      </c>
      <c r="I31" s="11">
        <v>82.65</v>
      </c>
      <c r="J31" s="11">
        <v>89.82</v>
      </c>
      <c r="K31" s="11">
        <v>96.35</v>
      </c>
      <c r="L31" s="11">
        <v>103.32</v>
      </c>
      <c r="M31" s="11">
        <v>109.78</v>
      </c>
      <c r="N31" s="11">
        <v>116.27</v>
      </c>
      <c r="O31" s="11">
        <v>122.68</v>
      </c>
      <c r="P31" s="11">
        <v>129.71</v>
      </c>
      <c r="Q31" s="11">
        <v>137.4</v>
      </c>
      <c r="R31" s="11">
        <v>143.62</v>
      </c>
      <c r="S31" s="11">
        <v>150.27</v>
      </c>
      <c r="T31" s="11">
        <v>156.59</v>
      </c>
      <c r="U31" s="11">
        <v>163.12</v>
      </c>
      <c r="V31" s="11">
        <v>171.44</v>
      </c>
      <c r="W31" s="11">
        <v>180.67</v>
      </c>
      <c r="X31" s="11">
        <v>189.05</v>
      </c>
      <c r="Y31" s="11">
        <v>195.36</v>
      </c>
      <c r="Z31" s="11">
        <v>201.81</v>
      </c>
      <c r="AA31" s="11"/>
      <c r="AB31" s="11"/>
      <c r="AC31" s="11"/>
      <c r="AD31" s="11"/>
      <c r="AE31" s="11"/>
      <c r="AF31" s="11"/>
      <c r="AG31" s="12"/>
      <c r="AH31" s="13"/>
      <c r="AI31" s="17">
        <v>2600</v>
      </c>
      <c r="AJ31" s="11" t="str">
        <f>ROUND(49.76*(1+AD6)*(1+AD5)+AD7,2)</f>
        <v>0</v>
      </c>
      <c r="AK31" s="11" t="str">
        <f>ROUND(55.98*(1+AD6)*(1+AD5)+AD7,2)</f>
        <v>0</v>
      </c>
      <c r="AL31" s="11" t="str">
        <f>ROUND(62.21*(1+AD6)*(1+AD5)+AD7,2)</f>
        <v>0</v>
      </c>
      <c r="AM31" s="11" t="str">
        <f>ROUND(68.48*(1+AD6)*(1+AD5)+AD7,2)</f>
        <v>0</v>
      </c>
      <c r="AN31" s="11" t="str">
        <f>ROUND(75.56*(1+AD6)*(1+AD5)+AD7,2)</f>
        <v>0</v>
      </c>
      <c r="AO31" s="11" t="str">
        <f>ROUND(82.65*(1+AD6)*(1+AD5)+AD7,2)</f>
        <v>0</v>
      </c>
      <c r="AP31" s="11" t="str">
        <f>ROUND(89.82*(1+AD6)*(1+AD5)+AD7,2)</f>
        <v>0</v>
      </c>
      <c r="AQ31" s="11" t="str">
        <f>ROUND(96.35*(1+AD6)*(1+AD5)+AD7,2)</f>
        <v>0</v>
      </c>
      <c r="AR31" s="11" t="str">
        <f>ROUND(103.32*(1+AD6)*(1+AD5)+AD7,2)</f>
        <v>0</v>
      </c>
      <c r="AS31" s="11" t="str">
        <f>ROUND(109.78*(1+AD6)*(1+AD5)+AD7,2)</f>
        <v>0</v>
      </c>
      <c r="AT31" s="11" t="str">
        <f>ROUND(116.27*(1+AD6)*(1+AD5)+AD7,2)</f>
        <v>0</v>
      </c>
      <c r="AU31" s="11" t="str">
        <f>ROUND(122.68*(1+AD6)*(1+AD5)+AD7,2)</f>
        <v>0</v>
      </c>
      <c r="AV31" s="11" t="str">
        <f>ROUND(129.71*(1+AD6)*(1+AD5)+AD7,2)</f>
        <v>0</v>
      </c>
      <c r="AW31" s="11" t="str">
        <f>ROUND(137.4*(1+AD6)*(1+AD5)+AD7,2)</f>
        <v>0</v>
      </c>
      <c r="AX31" s="11" t="str">
        <f>ROUND(143.62*(1+AD6)*(1+AD5)+AD7,2)</f>
        <v>0</v>
      </c>
      <c r="AY31" s="11" t="str">
        <f>ROUND(150.27*(1+AD6)*(1+AD5)+AD7,2)</f>
        <v>0</v>
      </c>
      <c r="AZ31" s="11" t="str">
        <f>ROUND(156.59*(1+AD6)*(1+AD5)+AD7,2)</f>
        <v>0</v>
      </c>
      <c r="BA31" s="11" t="str">
        <f>ROUND(163.12*(1+AD6)*(1+AD5)+AD7,2)</f>
        <v>0</v>
      </c>
      <c r="BB31" s="11" t="str">
        <f>ROUND(171.44*(1+AD6)*(1+AD5)+AD7,2)</f>
        <v>0</v>
      </c>
      <c r="BC31" s="11" t="str">
        <f>ROUND(180.67*(1+AD6)*(1+AD5)+AD7,2)</f>
        <v>0</v>
      </c>
      <c r="BD31" s="11" t="str">
        <f>ROUND(189.05*(1+AD6)*(1+AD5)+AD7,2)</f>
        <v>0</v>
      </c>
      <c r="BE31" t="str">
        <f>ROUND(195.36*(1+AD6)*(1+AD5)+AD7,2)</f>
        <v>0</v>
      </c>
      <c r="BF31" t="str">
        <f>ROUND(201.81*(1+AD6)*(1+AD5)+AD7,2)</f>
        <v>0</v>
      </c>
    </row>
    <row r="32" spans="1:58">
      <c r="A32" s="11"/>
      <c r="B32" s="13"/>
      <c r="C32" s="17">
        <v>2700</v>
      </c>
      <c r="D32" s="11">
        <v>52.25</v>
      </c>
      <c r="E32" s="11">
        <v>58.79</v>
      </c>
      <c r="F32" s="11">
        <v>65.32</v>
      </c>
      <c r="G32" s="11">
        <v>71.9</v>
      </c>
      <c r="H32" s="11">
        <v>79.33</v>
      </c>
      <c r="I32" s="11">
        <v>86.79</v>
      </c>
      <c r="J32" s="11">
        <v>94.32</v>
      </c>
      <c r="K32" s="11">
        <v>101.17</v>
      </c>
      <c r="L32" s="11">
        <v>108.49</v>
      </c>
      <c r="M32" s="11">
        <v>115.26</v>
      </c>
      <c r="N32" s="11">
        <v>122.08</v>
      </c>
      <c r="O32" s="11">
        <v>128.82</v>
      </c>
      <c r="P32" s="11">
        <v>136.2</v>
      </c>
      <c r="Q32" s="11">
        <v>144.27</v>
      </c>
      <c r="R32" s="11">
        <v>150.81</v>
      </c>
      <c r="S32" s="11">
        <v>157.78</v>
      </c>
      <c r="T32" s="11">
        <v>164.42</v>
      </c>
      <c r="U32" s="11">
        <v>171.28</v>
      </c>
      <c r="V32" s="11">
        <v>180.01</v>
      </c>
      <c r="W32" s="11">
        <v>189.7</v>
      </c>
      <c r="X32" s="11">
        <v>198.5</v>
      </c>
      <c r="Y32" s="11">
        <v>205.13</v>
      </c>
      <c r="Z32" s="11">
        <v>211.89</v>
      </c>
      <c r="AA32" s="11"/>
      <c r="AB32" s="11"/>
      <c r="AC32" s="11"/>
      <c r="AD32" s="11"/>
      <c r="AE32" s="11"/>
      <c r="AF32" s="11"/>
      <c r="AG32" s="12"/>
      <c r="AH32" s="13"/>
      <c r="AI32" s="17">
        <v>2700</v>
      </c>
      <c r="AJ32" s="11" t="str">
        <f>ROUND(52.25*(1+AD6)*(1+AD5)+AD7,2)</f>
        <v>0</v>
      </c>
      <c r="AK32" s="11" t="str">
        <f>ROUND(58.79*(1+AD6)*(1+AD5)+AD7,2)</f>
        <v>0</v>
      </c>
      <c r="AL32" s="11" t="str">
        <f>ROUND(65.32*(1+AD6)*(1+AD5)+AD7,2)</f>
        <v>0</v>
      </c>
      <c r="AM32" s="11" t="str">
        <f>ROUND(71.9*(1+AD6)*(1+AD5)+AD7,2)</f>
        <v>0</v>
      </c>
      <c r="AN32" s="11" t="str">
        <f>ROUND(79.33*(1+AD6)*(1+AD5)+AD7,2)</f>
        <v>0</v>
      </c>
      <c r="AO32" s="11" t="str">
        <f>ROUND(86.79*(1+AD6)*(1+AD5)+AD7,2)</f>
        <v>0</v>
      </c>
      <c r="AP32" s="11" t="str">
        <f>ROUND(94.32*(1+AD6)*(1+AD5)+AD7,2)</f>
        <v>0</v>
      </c>
      <c r="AQ32" s="11" t="str">
        <f>ROUND(101.17*(1+AD6)*(1+AD5)+AD7,2)</f>
        <v>0</v>
      </c>
      <c r="AR32" s="11" t="str">
        <f>ROUND(108.49*(1+AD6)*(1+AD5)+AD7,2)</f>
        <v>0</v>
      </c>
      <c r="AS32" s="11" t="str">
        <f>ROUND(115.26*(1+AD6)*(1+AD5)+AD7,2)</f>
        <v>0</v>
      </c>
      <c r="AT32" s="11" t="str">
        <f>ROUND(122.08*(1+AD6)*(1+AD5)+AD7,2)</f>
        <v>0</v>
      </c>
      <c r="AU32" s="11" t="str">
        <f>ROUND(128.82*(1+AD6)*(1+AD5)+AD7,2)</f>
        <v>0</v>
      </c>
      <c r="AV32" s="11" t="str">
        <f>ROUND(136.2*(1+AD6)*(1+AD5)+AD7,2)</f>
        <v>0</v>
      </c>
      <c r="AW32" s="11" t="str">
        <f>ROUND(144.27*(1+AD6)*(1+AD5)+AD7,2)</f>
        <v>0</v>
      </c>
      <c r="AX32" s="11" t="str">
        <f>ROUND(150.81*(1+AD6)*(1+AD5)+AD7,2)</f>
        <v>0</v>
      </c>
      <c r="AY32" s="11" t="str">
        <f>ROUND(157.78*(1+AD6)*(1+AD5)+AD7,2)</f>
        <v>0</v>
      </c>
      <c r="AZ32" s="11" t="str">
        <f>ROUND(164.42*(1+AD6)*(1+AD5)+AD7,2)</f>
        <v>0</v>
      </c>
      <c r="BA32" s="11" t="str">
        <f>ROUND(171.28*(1+AD6)*(1+AD5)+AD7,2)</f>
        <v>0</v>
      </c>
      <c r="BB32" s="11" t="str">
        <f>ROUND(180.01*(1+AD6)*(1+AD5)+AD7,2)</f>
        <v>0</v>
      </c>
      <c r="BC32" s="11" t="str">
        <f>ROUND(189.7*(1+AD6)*(1+AD5)+AD7,2)</f>
        <v>0</v>
      </c>
      <c r="BD32" s="11" t="str">
        <f>ROUND(198.5*(1+AD6)*(1+AD5)+AD7,2)</f>
        <v>0</v>
      </c>
      <c r="BE32" t="str">
        <f>ROUND(205.13*(1+AD6)*(1+AD5)+AD7,2)</f>
        <v>0</v>
      </c>
      <c r="BF32" t="str">
        <f>ROUND(211.89*(1+AD6)*(1+AD5)+AD7,2)</f>
        <v>0</v>
      </c>
    </row>
    <row r="33" spans="1:58">
      <c r="A33" s="11"/>
      <c r="B33" s="13"/>
      <c r="C33" s="17">
        <v>2800</v>
      </c>
      <c r="D33" s="11">
        <v>54.86</v>
      </c>
      <c r="E33" s="11">
        <v>61.72</v>
      </c>
      <c r="F33" s="11">
        <v>68.58</v>
      </c>
      <c r="G33" s="11">
        <v>75.5</v>
      </c>
      <c r="H33" s="11">
        <v>83.3</v>
      </c>
      <c r="I33" s="11">
        <v>91.13</v>
      </c>
      <c r="J33" s="11">
        <v>99.03</v>
      </c>
      <c r="K33" s="11">
        <v>106.22</v>
      </c>
      <c r="L33" s="11">
        <v>113.91</v>
      </c>
      <c r="M33" s="11">
        <v>121.03</v>
      </c>
      <c r="N33" s="11">
        <v>128.18</v>
      </c>
      <c r="O33" s="11">
        <v>135.26</v>
      </c>
      <c r="P33" s="11">
        <v>143.01</v>
      </c>
      <c r="Q33" s="11">
        <v>151.49</v>
      </c>
      <c r="R33" s="11">
        <v>158.35</v>
      </c>
      <c r="S33" s="11">
        <v>165.67</v>
      </c>
      <c r="T33" s="11">
        <v>172.64</v>
      </c>
      <c r="U33" s="11">
        <v>179.85</v>
      </c>
      <c r="V33" s="11">
        <v>189.01</v>
      </c>
      <c r="W33" s="11">
        <v>199.19</v>
      </c>
      <c r="X33" s="11">
        <v>208.43</v>
      </c>
      <c r="Y33" s="11">
        <v>215.39</v>
      </c>
      <c r="Z33" s="11">
        <v>222.49</v>
      </c>
      <c r="AA33" s="11"/>
      <c r="AB33" s="11"/>
      <c r="AC33" s="11"/>
      <c r="AD33" s="11"/>
      <c r="AE33" s="11"/>
      <c r="AF33" s="11"/>
      <c r="AG33" s="12"/>
      <c r="AH33" s="13"/>
      <c r="AI33" s="17">
        <v>2800</v>
      </c>
      <c r="AJ33" s="11" t="str">
        <f>ROUND(54.86*(1+AD6)*(1+AD5)+AD7,2)</f>
        <v>0</v>
      </c>
      <c r="AK33" s="11" t="str">
        <f>ROUND(61.72*(1+AD6)*(1+AD5)+AD7,2)</f>
        <v>0</v>
      </c>
      <c r="AL33" s="11" t="str">
        <f>ROUND(68.58*(1+AD6)*(1+AD5)+AD7,2)</f>
        <v>0</v>
      </c>
      <c r="AM33" s="11" t="str">
        <f>ROUND(75.5*(1+AD6)*(1+AD5)+AD7,2)</f>
        <v>0</v>
      </c>
      <c r="AN33" s="11" t="str">
        <f>ROUND(83.3*(1+AD6)*(1+AD5)+AD7,2)</f>
        <v>0</v>
      </c>
      <c r="AO33" s="11" t="str">
        <f>ROUND(91.13*(1+AD6)*(1+AD5)+AD7,2)</f>
        <v>0</v>
      </c>
      <c r="AP33" s="11" t="str">
        <f>ROUND(99.03*(1+AD6)*(1+AD5)+AD7,2)</f>
        <v>0</v>
      </c>
      <c r="AQ33" s="11" t="str">
        <f>ROUND(106.22*(1+AD6)*(1+AD5)+AD7,2)</f>
        <v>0</v>
      </c>
      <c r="AR33" s="11" t="str">
        <f>ROUND(113.91*(1+AD6)*(1+AD5)+AD7,2)</f>
        <v>0</v>
      </c>
      <c r="AS33" s="11" t="str">
        <f>ROUND(121.03*(1+AD6)*(1+AD5)+AD7,2)</f>
        <v>0</v>
      </c>
      <c r="AT33" s="11" t="str">
        <f>ROUND(128.18*(1+AD6)*(1+AD5)+AD7,2)</f>
        <v>0</v>
      </c>
      <c r="AU33" s="11" t="str">
        <f>ROUND(135.26*(1+AD6)*(1+AD5)+AD7,2)</f>
        <v>0</v>
      </c>
      <c r="AV33" s="11" t="str">
        <f>ROUND(143.01*(1+AD6)*(1+AD5)+AD7,2)</f>
        <v>0</v>
      </c>
      <c r="AW33" s="11" t="str">
        <f>ROUND(151.49*(1+AD6)*(1+AD5)+AD7,2)</f>
        <v>0</v>
      </c>
      <c r="AX33" s="11" t="str">
        <f>ROUND(158.35*(1+AD6)*(1+AD5)+AD7,2)</f>
        <v>0</v>
      </c>
      <c r="AY33" s="11" t="str">
        <f>ROUND(165.67*(1+AD6)*(1+AD5)+AD7,2)</f>
        <v>0</v>
      </c>
      <c r="AZ33" s="11" t="str">
        <f>ROUND(172.64*(1+AD6)*(1+AD5)+AD7,2)</f>
        <v>0</v>
      </c>
      <c r="BA33" s="11" t="str">
        <f>ROUND(179.85*(1+AD6)*(1+AD5)+AD7,2)</f>
        <v>0</v>
      </c>
      <c r="BB33" s="11" t="str">
        <f>ROUND(189.01*(1+AD6)*(1+AD5)+AD7,2)</f>
        <v>0</v>
      </c>
      <c r="BC33" s="11" t="str">
        <f>ROUND(199.19*(1+AD6)*(1+AD5)+AD7,2)</f>
        <v>0</v>
      </c>
      <c r="BD33" s="11" t="str">
        <f>ROUND(208.43*(1+AD6)*(1+AD5)+AD7,2)</f>
        <v>0</v>
      </c>
      <c r="BE33" t="str">
        <f>ROUND(215.39*(1+AD6)*(1+AD5)+AD7,2)</f>
        <v>0</v>
      </c>
      <c r="BF33" t="str">
        <f>ROUND(222.49*(1+AD6)*(1+AD5)+AD7,2)</f>
        <v>0</v>
      </c>
    </row>
    <row r="34" spans="1:58">
      <c r="A34" s="11"/>
      <c r="B34" s="13"/>
      <c r="C34" s="17">
        <v>2900</v>
      </c>
      <c r="D34" s="11">
        <v>57.6</v>
      </c>
      <c r="E34" s="11">
        <v>64.81</v>
      </c>
      <c r="F34" s="11">
        <v>72.01</v>
      </c>
      <c r="G34" s="11">
        <v>79.27</v>
      </c>
      <c r="H34" s="11">
        <v>87.46</v>
      </c>
      <c r="I34" s="11">
        <v>95.69</v>
      </c>
      <c r="J34" s="11">
        <v>103.99</v>
      </c>
      <c r="K34" s="11">
        <v>111.53</v>
      </c>
      <c r="L34" s="11">
        <v>119.61</v>
      </c>
      <c r="M34" s="11">
        <v>127.08</v>
      </c>
      <c r="N34" s="11">
        <v>134.59</v>
      </c>
      <c r="O34" s="11">
        <v>142.02</v>
      </c>
      <c r="P34" s="11">
        <v>150.16</v>
      </c>
      <c r="Q34" s="11">
        <v>159.06</v>
      </c>
      <c r="R34" s="11">
        <v>166.26</v>
      </c>
      <c r="S34" s="11">
        <v>173.95</v>
      </c>
      <c r="T34" s="11">
        <v>181.27</v>
      </c>
      <c r="U34" s="11">
        <v>188.84</v>
      </c>
      <c r="V34" s="11">
        <v>198.46</v>
      </c>
      <c r="W34" s="11">
        <v>209.14</v>
      </c>
      <c r="X34" s="11">
        <v>218.85</v>
      </c>
      <c r="Y34" s="11">
        <v>226.16</v>
      </c>
      <c r="Z34" s="11">
        <v>233.61</v>
      </c>
      <c r="AA34" s="11"/>
      <c r="AB34" s="11"/>
      <c r="AC34" s="11"/>
      <c r="AD34" s="11"/>
      <c r="AE34" s="11"/>
      <c r="AF34" s="11"/>
      <c r="AG34" s="12"/>
      <c r="AH34" s="13"/>
      <c r="AI34" s="17">
        <v>2900</v>
      </c>
      <c r="AJ34" s="11" t="str">
        <f>ROUND(57.6*(1+AD6)*(1+AD5)+AD7,2)</f>
        <v>0</v>
      </c>
      <c r="AK34" s="11" t="str">
        <f>ROUND(64.81*(1+AD6)*(1+AD5)+AD7,2)</f>
        <v>0</v>
      </c>
      <c r="AL34" s="11" t="str">
        <f>ROUND(72.01*(1+AD6)*(1+AD5)+AD7,2)</f>
        <v>0</v>
      </c>
      <c r="AM34" s="11" t="str">
        <f>ROUND(79.27*(1+AD6)*(1+AD5)+AD7,2)</f>
        <v>0</v>
      </c>
      <c r="AN34" s="11" t="str">
        <f>ROUND(87.46*(1+AD6)*(1+AD5)+AD7,2)</f>
        <v>0</v>
      </c>
      <c r="AO34" s="11" t="str">
        <f>ROUND(95.69*(1+AD6)*(1+AD5)+AD7,2)</f>
        <v>0</v>
      </c>
      <c r="AP34" s="11" t="str">
        <f>ROUND(103.99*(1+AD6)*(1+AD5)+AD7,2)</f>
        <v>0</v>
      </c>
      <c r="AQ34" s="11" t="str">
        <f>ROUND(111.53*(1+AD6)*(1+AD5)+AD7,2)</f>
        <v>0</v>
      </c>
      <c r="AR34" s="11" t="str">
        <f>ROUND(119.61*(1+AD6)*(1+AD5)+AD7,2)</f>
        <v>0</v>
      </c>
      <c r="AS34" s="11" t="str">
        <f>ROUND(127.08*(1+AD6)*(1+AD5)+AD7,2)</f>
        <v>0</v>
      </c>
      <c r="AT34" s="11" t="str">
        <f>ROUND(134.59*(1+AD6)*(1+AD5)+AD7,2)</f>
        <v>0</v>
      </c>
      <c r="AU34" s="11" t="str">
        <f>ROUND(142.02*(1+AD6)*(1+AD5)+AD7,2)</f>
        <v>0</v>
      </c>
      <c r="AV34" s="11" t="str">
        <f>ROUND(150.16*(1+AD6)*(1+AD5)+AD7,2)</f>
        <v>0</v>
      </c>
      <c r="AW34" s="11" t="str">
        <f>ROUND(159.06*(1+AD6)*(1+AD5)+AD7,2)</f>
        <v>0</v>
      </c>
      <c r="AX34" s="11" t="str">
        <f>ROUND(166.26*(1+AD6)*(1+AD5)+AD7,2)</f>
        <v>0</v>
      </c>
      <c r="AY34" s="11" t="str">
        <f>ROUND(173.95*(1+AD6)*(1+AD5)+AD7,2)</f>
        <v>0</v>
      </c>
      <c r="AZ34" s="11" t="str">
        <f>ROUND(181.27*(1+AD6)*(1+AD5)+AD7,2)</f>
        <v>0</v>
      </c>
      <c r="BA34" s="11" t="str">
        <f>ROUND(188.84*(1+AD6)*(1+AD5)+AD7,2)</f>
        <v>0</v>
      </c>
      <c r="BB34" s="11" t="str">
        <f>ROUND(198.46*(1+AD6)*(1+AD5)+AD7,2)</f>
        <v>0</v>
      </c>
      <c r="BC34" s="11" t="str">
        <f>ROUND(209.14*(1+AD6)*(1+AD5)+AD7,2)</f>
        <v>0</v>
      </c>
      <c r="BD34" s="11" t="str">
        <f>ROUND(218.85*(1+AD6)*(1+AD5)+AD7,2)</f>
        <v>0</v>
      </c>
      <c r="BE34" t="str">
        <f>ROUND(226.16*(1+AD6)*(1+AD5)+AD7,2)</f>
        <v>0</v>
      </c>
      <c r="BF34" t="str">
        <f>ROUND(233.61*(1+AD6)*(1+AD5)+AD7,2)</f>
        <v>0</v>
      </c>
    </row>
    <row r="35" spans="1:58">
      <c r="A35" s="11"/>
      <c r="B35" s="13"/>
      <c r="C35" s="17">
        <v>3000</v>
      </c>
      <c r="D35" s="11">
        <v>60.48</v>
      </c>
      <c r="E35" s="11">
        <v>68.06</v>
      </c>
      <c r="F35" s="11">
        <v>75.61</v>
      </c>
      <c r="G35" s="11">
        <v>83.24</v>
      </c>
      <c r="H35" s="11">
        <v>91.84</v>
      </c>
      <c r="I35" s="11">
        <v>100.47</v>
      </c>
      <c r="J35" s="11">
        <v>109.19</v>
      </c>
      <c r="K35" s="11">
        <v>117.11</v>
      </c>
      <c r="L35" s="11">
        <v>125.59</v>
      </c>
      <c r="M35" s="11">
        <v>133.44</v>
      </c>
      <c r="N35" s="11">
        <v>141.32</v>
      </c>
      <c r="O35" s="11">
        <v>149.12</v>
      </c>
      <c r="P35" s="11">
        <v>157.67</v>
      </c>
      <c r="Q35" s="11">
        <v>167.02</v>
      </c>
      <c r="R35" s="11">
        <v>174.58</v>
      </c>
      <c r="S35" s="11">
        <v>182.65</v>
      </c>
      <c r="T35" s="11">
        <v>190.33</v>
      </c>
      <c r="U35" s="11">
        <v>198.28</v>
      </c>
      <c r="V35" s="11">
        <v>208.39</v>
      </c>
      <c r="W35" s="11">
        <v>219.6</v>
      </c>
      <c r="X35" s="11">
        <v>229.79</v>
      </c>
      <c r="Y35" s="11">
        <v>237.47</v>
      </c>
      <c r="Z35" s="11">
        <v>245.29</v>
      </c>
      <c r="AA35" s="11"/>
      <c r="AB35" s="11"/>
      <c r="AC35" s="11"/>
      <c r="AD35" s="11"/>
      <c r="AE35" s="11"/>
      <c r="AF35" s="11"/>
      <c r="AG35" s="12"/>
      <c r="AH35" s="13"/>
      <c r="AI35" s="17">
        <v>3000</v>
      </c>
      <c r="AJ35" s="11" t="str">
        <f>ROUND(60.48*(1+AD6)*(1+AD5)+AD7,2)</f>
        <v>0</v>
      </c>
      <c r="AK35" s="11" t="str">
        <f>ROUND(68.06*(1+AD6)*(1+AD5)+AD7,2)</f>
        <v>0</v>
      </c>
      <c r="AL35" s="11" t="str">
        <f>ROUND(75.61*(1+AD6)*(1+AD5)+AD7,2)</f>
        <v>0</v>
      </c>
      <c r="AM35" s="11" t="str">
        <f>ROUND(83.24*(1+AD6)*(1+AD5)+AD7,2)</f>
        <v>0</v>
      </c>
      <c r="AN35" s="11" t="str">
        <f>ROUND(91.84*(1+AD6)*(1+AD5)+AD7,2)</f>
        <v>0</v>
      </c>
      <c r="AO35" s="11" t="str">
        <f>ROUND(100.47*(1+AD6)*(1+AD5)+AD7,2)</f>
        <v>0</v>
      </c>
      <c r="AP35" s="11" t="str">
        <f>ROUND(109.19*(1+AD6)*(1+AD5)+AD7,2)</f>
        <v>0</v>
      </c>
      <c r="AQ35" s="11" t="str">
        <f>ROUND(117.11*(1+AD6)*(1+AD5)+AD7,2)</f>
        <v>0</v>
      </c>
      <c r="AR35" s="11" t="str">
        <f>ROUND(125.59*(1+AD6)*(1+AD5)+AD7,2)</f>
        <v>0</v>
      </c>
      <c r="AS35" s="11" t="str">
        <f>ROUND(133.44*(1+AD6)*(1+AD5)+AD7,2)</f>
        <v>0</v>
      </c>
      <c r="AT35" s="11" t="str">
        <f>ROUND(141.32*(1+AD6)*(1+AD5)+AD7,2)</f>
        <v>0</v>
      </c>
      <c r="AU35" s="11" t="str">
        <f>ROUND(149.12*(1+AD6)*(1+AD5)+AD7,2)</f>
        <v>0</v>
      </c>
      <c r="AV35" s="11" t="str">
        <f>ROUND(157.67*(1+AD6)*(1+AD5)+AD7,2)</f>
        <v>0</v>
      </c>
      <c r="AW35" s="11" t="str">
        <f>ROUND(167.02*(1+AD6)*(1+AD5)+AD7,2)</f>
        <v>0</v>
      </c>
      <c r="AX35" s="11" t="str">
        <f>ROUND(174.58*(1+AD6)*(1+AD5)+AD7,2)</f>
        <v>0</v>
      </c>
      <c r="AY35" s="11" t="str">
        <f>ROUND(182.65*(1+AD6)*(1+AD5)+AD7,2)</f>
        <v>0</v>
      </c>
      <c r="AZ35" s="11" t="str">
        <f>ROUND(190.33*(1+AD6)*(1+AD5)+AD7,2)</f>
        <v>0</v>
      </c>
      <c r="BA35" s="11" t="str">
        <f>ROUND(198.28*(1+AD6)*(1+AD5)+AD7,2)</f>
        <v>0</v>
      </c>
      <c r="BB35" s="11" t="str">
        <f>ROUND(208.39*(1+AD6)*(1+AD5)+AD7,2)</f>
        <v>0</v>
      </c>
      <c r="BC35" s="11" t="str">
        <f>ROUND(219.6*(1+AD6)*(1+AD5)+AD7,2)</f>
        <v>0</v>
      </c>
      <c r="BD35" s="11" t="str">
        <f>ROUND(229.79*(1+AD6)*(1+AD5)+AD7,2)</f>
        <v>0</v>
      </c>
      <c r="BE35" t="str">
        <f>ROUND(237.47*(1+AD6)*(1+AD5)+AD7,2)</f>
        <v>0</v>
      </c>
      <c r="BF35" t="str">
        <f>ROUND(245.29*(1+AD6)*(1+AD5)+AD7,2)</f>
        <v>0</v>
      </c>
    </row>
    <row r="36" spans="1:58">
      <c r="A36" s="11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/>
      <c r="AH36" s="12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</row>
    <row r="37" spans="1:58">
      <c r="A37" s="11"/>
      <c r="B37" s="12"/>
      <c r="C37" s="15" t="s">
        <v>19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1"/>
      <c r="AB37" s="11"/>
      <c r="AC37" s="11"/>
      <c r="AD37" s="11"/>
      <c r="AE37" s="11"/>
      <c r="AF37" s="11"/>
      <c r="AG37" s="12"/>
      <c r="AH37" s="12"/>
      <c r="AI37" s="15" t="s">
        <v>19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6"/>
      <c r="BF37" s="6"/>
    </row>
    <row r="38" spans="1:58">
      <c r="A38" s="11"/>
      <c r="B38" s="12"/>
      <c r="C38" s="15" t="s">
        <v>20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1"/>
      <c r="AB38" s="11"/>
      <c r="AC38" s="11"/>
      <c r="AD38" s="11"/>
      <c r="AE38" s="11"/>
      <c r="AF38" s="11"/>
      <c r="AG38" s="12"/>
      <c r="AH38" s="12"/>
      <c r="AI38" s="15" t="s">
        <v>20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6"/>
      <c r="BF38" s="6"/>
    </row>
    <row r="39" spans="1:58">
      <c r="A39" s="11"/>
      <c r="B39" s="12"/>
      <c r="C39" s="16" t="s">
        <v>16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1"/>
      <c r="AB39" s="11"/>
      <c r="AC39" s="11"/>
      <c r="AD39" s="11"/>
      <c r="AE39" s="11"/>
      <c r="AF39" s="11"/>
      <c r="AG39" s="12"/>
      <c r="AH39" s="12"/>
      <c r="AI39" s="16" t="s">
        <v>16</v>
      </c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7"/>
      <c r="BF39" s="7"/>
    </row>
    <row r="40" spans="1:58">
      <c r="A40" s="11"/>
      <c r="B40" s="13"/>
      <c r="C40" s="17" t="s">
        <v>17</v>
      </c>
      <c r="D40" s="17">
        <v>300</v>
      </c>
      <c r="E40" s="17">
        <v>400</v>
      </c>
      <c r="F40" s="17">
        <v>500</v>
      </c>
      <c r="G40" s="17">
        <v>600</v>
      </c>
      <c r="H40" s="17">
        <v>700</v>
      </c>
      <c r="I40" s="17">
        <v>800</v>
      </c>
      <c r="J40" s="17">
        <v>900</v>
      </c>
      <c r="K40" s="17">
        <v>1000</v>
      </c>
      <c r="L40" s="17">
        <v>1100</v>
      </c>
      <c r="M40" s="17">
        <v>1200</v>
      </c>
      <c r="N40" s="17">
        <v>1300</v>
      </c>
      <c r="O40" s="17">
        <v>1400</v>
      </c>
      <c r="P40" s="17">
        <v>1500</v>
      </c>
      <c r="Q40" s="17">
        <v>1600</v>
      </c>
      <c r="R40" s="17">
        <v>1700</v>
      </c>
      <c r="S40" s="17">
        <v>1800</v>
      </c>
      <c r="T40" s="17">
        <v>1900</v>
      </c>
      <c r="U40" s="17">
        <v>2000</v>
      </c>
      <c r="V40" s="17">
        <v>2100</v>
      </c>
      <c r="W40" s="17">
        <v>2200</v>
      </c>
      <c r="X40" s="17">
        <v>2300</v>
      </c>
      <c r="Y40" s="17">
        <v>2400</v>
      </c>
      <c r="Z40" s="17">
        <v>2500</v>
      </c>
      <c r="AA40" s="11"/>
      <c r="AB40" s="11"/>
      <c r="AC40" s="11"/>
      <c r="AD40" s="11"/>
      <c r="AE40" s="11"/>
      <c r="AF40" s="11"/>
      <c r="AG40" s="12"/>
      <c r="AH40" s="13"/>
      <c r="AI40" s="17" t="s">
        <v>17</v>
      </c>
      <c r="AJ40" s="17">
        <v>300</v>
      </c>
      <c r="AK40" s="17">
        <v>400</v>
      </c>
      <c r="AL40" s="17">
        <v>500</v>
      </c>
      <c r="AM40" s="17">
        <v>600</v>
      </c>
      <c r="AN40" s="17">
        <v>700</v>
      </c>
      <c r="AO40" s="17">
        <v>800</v>
      </c>
      <c r="AP40" s="17">
        <v>900</v>
      </c>
      <c r="AQ40" s="17">
        <v>1000</v>
      </c>
      <c r="AR40" s="17">
        <v>1100</v>
      </c>
      <c r="AS40" s="17">
        <v>1200</v>
      </c>
      <c r="AT40" s="17">
        <v>1300</v>
      </c>
      <c r="AU40" s="17">
        <v>1400</v>
      </c>
      <c r="AV40" s="17">
        <v>1500</v>
      </c>
      <c r="AW40" s="17">
        <v>1600</v>
      </c>
      <c r="AX40" s="17">
        <v>1700</v>
      </c>
      <c r="AY40" s="17">
        <v>1800</v>
      </c>
      <c r="AZ40" s="17">
        <v>1900</v>
      </c>
      <c r="BA40" s="17">
        <v>2000</v>
      </c>
      <c r="BB40" s="17">
        <v>2100</v>
      </c>
      <c r="BC40" s="17">
        <v>2200</v>
      </c>
      <c r="BD40" s="17">
        <v>2300</v>
      </c>
      <c r="BE40" s="8">
        <v>2400</v>
      </c>
      <c r="BF40" s="8">
        <v>2500</v>
      </c>
    </row>
    <row r="41" spans="1:58">
      <c r="A41" s="11"/>
      <c r="B41" s="13" t="s">
        <v>18</v>
      </c>
      <c r="C41" s="17">
        <v>1000</v>
      </c>
      <c r="D41" s="11">
        <v>48.09</v>
      </c>
      <c r="E41" s="11">
        <v>53.27</v>
      </c>
      <c r="F41" s="11">
        <v>58.43</v>
      </c>
      <c r="G41" s="11">
        <v>63.66</v>
      </c>
      <c r="H41" s="11">
        <v>69.66</v>
      </c>
      <c r="I41" s="11">
        <v>75.7</v>
      </c>
      <c r="J41" s="11">
        <v>81.76</v>
      </c>
      <c r="K41" s="11">
        <v>87.23</v>
      </c>
      <c r="L41" s="11">
        <v>93.21</v>
      </c>
      <c r="M41" s="11">
        <v>98.63</v>
      </c>
      <c r="N41" s="11">
        <v>104.05</v>
      </c>
      <c r="O41" s="11">
        <v>109.43</v>
      </c>
      <c r="P41" s="11">
        <v>115.39</v>
      </c>
      <c r="Q41" s="11">
        <v>122.05</v>
      </c>
      <c r="R41" s="11">
        <v>127.22</v>
      </c>
      <c r="S41" s="11">
        <v>132.8</v>
      </c>
      <c r="T41" s="11">
        <v>138.08</v>
      </c>
      <c r="U41" s="11">
        <v>143.55</v>
      </c>
      <c r="V41" s="11">
        <v>150.82</v>
      </c>
      <c r="W41" s="11">
        <v>158.85</v>
      </c>
      <c r="X41" s="11">
        <v>166.1</v>
      </c>
      <c r="Y41" s="11">
        <v>171.37</v>
      </c>
      <c r="Z41" s="11">
        <v>177.05</v>
      </c>
      <c r="AA41" s="11"/>
      <c r="AB41" s="11"/>
      <c r="AC41" s="11"/>
      <c r="AD41" s="11"/>
      <c r="AE41" s="11"/>
      <c r="AF41" s="11"/>
      <c r="AG41" s="12"/>
      <c r="AH41" s="13" t="s">
        <v>18</v>
      </c>
      <c r="AI41" s="17">
        <v>1000</v>
      </c>
      <c r="AJ41" s="11" t="str">
        <f>ROUND(48.09*(1+AD6)*(1+AD5)+AD7,2)</f>
        <v>0</v>
      </c>
      <c r="AK41" s="11" t="str">
        <f>ROUND(53.27*(1+AD6)*(1+AD5)+AD7,2)</f>
        <v>0</v>
      </c>
      <c r="AL41" s="11" t="str">
        <f>ROUND(58.43*(1+AD6)*(1+AD5)+AD7,2)</f>
        <v>0</v>
      </c>
      <c r="AM41" s="11" t="str">
        <f>ROUND(63.66*(1+AD6)*(1+AD5)+AD7,2)</f>
        <v>0</v>
      </c>
      <c r="AN41" s="11" t="str">
        <f>ROUND(69.66*(1+AD6)*(1+AD5)+AD7,2)</f>
        <v>0</v>
      </c>
      <c r="AO41" s="11" t="str">
        <f>ROUND(75.7*(1+AD6)*(1+AD5)+AD7,2)</f>
        <v>0</v>
      </c>
      <c r="AP41" s="11" t="str">
        <f>ROUND(81.76*(1+AD6)*(1+AD5)+AD7,2)</f>
        <v>0</v>
      </c>
      <c r="AQ41" s="11" t="str">
        <f>ROUND(87.23*(1+AD6)*(1+AD5)+AD7,2)</f>
        <v>0</v>
      </c>
      <c r="AR41" s="11" t="str">
        <f>ROUND(93.21*(1+AD6)*(1+AD5)+AD7,2)</f>
        <v>0</v>
      </c>
      <c r="AS41" s="11" t="str">
        <f>ROUND(98.63*(1+AD6)*(1+AD5)+AD7,2)</f>
        <v>0</v>
      </c>
      <c r="AT41" s="11" t="str">
        <f>ROUND(104.05*(1+AD6)*(1+AD5)+AD7,2)</f>
        <v>0</v>
      </c>
      <c r="AU41" s="11" t="str">
        <f>ROUND(109.43*(1+AD6)*(1+AD5)+AD7,2)</f>
        <v>0</v>
      </c>
      <c r="AV41" s="11" t="str">
        <f>ROUND(115.39*(1+AD6)*(1+AD5)+AD7,2)</f>
        <v>0</v>
      </c>
      <c r="AW41" s="11" t="str">
        <f>ROUND(122.05*(1+AD6)*(1+AD5)+AD7,2)</f>
        <v>0</v>
      </c>
      <c r="AX41" s="11" t="str">
        <f>ROUND(127.22*(1+AD6)*(1+AD5)+AD7,2)</f>
        <v>0</v>
      </c>
      <c r="AY41" s="11" t="str">
        <f>ROUND(132.8*(1+AD6)*(1+AD5)+AD7,2)</f>
        <v>0</v>
      </c>
      <c r="AZ41" s="11" t="str">
        <f>ROUND(138.08*(1+AD6)*(1+AD5)+AD7,2)</f>
        <v>0</v>
      </c>
      <c r="BA41" s="11" t="str">
        <f>ROUND(143.55*(1+AD6)*(1+AD5)+AD7,2)</f>
        <v>0</v>
      </c>
      <c r="BB41" s="11" t="str">
        <f>ROUND(150.82*(1+AD6)*(1+AD5)+AD7,2)</f>
        <v>0</v>
      </c>
      <c r="BC41" s="11" t="str">
        <f>ROUND(158.85*(1+AD6)*(1+AD5)+AD7,2)</f>
        <v>0</v>
      </c>
      <c r="BD41" s="11" t="str">
        <f>ROUND(166.1*(1+AD6)*(1+AD5)+AD7,2)</f>
        <v>0</v>
      </c>
      <c r="BE41" t="str">
        <f>ROUND(171.37*(1+AD6)*(1+AD5)+AD7,2)</f>
        <v>0</v>
      </c>
      <c r="BF41" t="str">
        <f>ROUND(177.05*(1+AD6)*(1+AD5)+AD7,2)</f>
        <v>0</v>
      </c>
    </row>
    <row r="42" spans="1:58">
      <c r="A42" s="11"/>
      <c r="B42" s="13"/>
      <c r="C42" s="17">
        <v>1100</v>
      </c>
      <c r="D42" s="11">
        <v>48.5</v>
      </c>
      <c r="E42" s="11">
        <v>53.79</v>
      </c>
      <c r="F42" s="11">
        <v>59.07</v>
      </c>
      <c r="G42" s="11">
        <v>64.43</v>
      </c>
      <c r="H42" s="11">
        <v>70.55</v>
      </c>
      <c r="I42" s="11">
        <v>76.69</v>
      </c>
      <c r="J42" s="11">
        <v>82.89</v>
      </c>
      <c r="K42" s="11">
        <v>88.47</v>
      </c>
      <c r="L42" s="11">
        <v>94.59</v>
      </c>
      <c r="M42" s="11">
        <v>100.11</v>
      </c>
      <c r="N42" s="11">
        <v>105.64</v>
      </c>
      <c r="O42" s="11">
        <v>111.16</v>
      </c>
      <c r="P42" s="11">
        <v>117.23</v>
      </c>
      <c r="Q42" s="11">
        <v>124.02</v>
      </c>
      <c r="R42" s="11">
        <v>129.3</v>
      </c>
      <c r="S42" s="11">
        <v>134.99</v>
      </c>
      <c r="T42" s="11">
        <v>140.37</v>
      </c>
      <c r="U42" s="11">
        <v>145.98</v>
      </c>
      <c r="V42" s="11">
        <v>153.35</v>
      </c>
      <c r="W42" s="11">
        <v>161.53</v>
      </c>
      <c r="X42" s="11">
        <v>168.86</v>
      </c>
      <c r="Y42" s="11">
        <v>174.27</v>
      </c>
      <c r="Z42" s="11">
        <v>180.02</v>
      </c>
      <c r="AA42" s="11"/>
      <c r="AB42" s="11"/>
      <c r="AC42" s="11"/>
      <c r="AD42" s="11"/>
      <c r="AE42" s="11"/>
      <c r="AF42" s="11"/>
      <c r="AG42" s="12"/>
      <c r="AH42" s="13"/>
      <c r="AI42" s="17">
        <v>1100</v>
      </c>
      <c r="AJ42" s="11" t="str">
        <f>ROUND(48.5*(1+AD6)*(1+AD5)+AD7,2)</f>
        <v>0</v>
      </c>
      <c r="AK42" s="11" t="str">
        <f>ROUND(53.79*(1+AD6)*(1+AD5)+AD7,2)</f>
        <v>0</v>
      </c>
      <c r="AL42" s="11" t="str">
        <f>ROUND(59.07*(1+AD6)*(1+AD5)+AD7,2)</f>
        <v>0</v>
      </c>
      <c r="AM42" s="11" t="str">
        <f>ROUND(64.43*(1+AD6)*(1+AD5)+AD7,2)</f>
        <v>0</v>
      </c>
      <c r="AN42" s="11" t="str">
        <f>ROUND(70.55*(1+AD6)*(1+AD5)+AD7,2)</f>
        <v>0</v>
      </c>
      <c r="AO42" s="11" t="str">
        <f>ROUND(76.69*(1+AD6)*(1+AD5)+AD7,2)</f>
        <v>0</v>
      </c>
      <c r="AP42" s="11" t="str">
        <f>ROUND(82.89*(1+AD6)*(1+AD5)+AD7,2)</f>
        <v>0</v>
      </c>
      <c r="AQ42" s="11" t="str">
        <f>ROUND(88.47*(1+AD6)*(1+AD5)+AD7,2)</f>
        <v>0</v>
      </c>
      <c r="AR42" s="11" t="str">
        <f>ROUND(94.59*(1+AD6)*(1+AD5)+AD7,2)</f>
        <v>0</v>
      </c>
      <c r="AS42" s="11" t="str">
        <f>ROUND(100.11*(1+AD6)*(1+AD5)+AD7,2)</f>
        <v>0</v>
      </c>
      <c r="AT42" s="11" t="str">
        <f>ROUND(105.64*(1+AD6)*(1+AD5)+AD7,2)</f>
        <v>0</v>
      </c>
      <c r="AU42" s="11" t="str">
        <f>ROUND(111.16*(1+AD6)*(1+AD5)+AD7,2)</f>
        <v>0</v>
      </c>
      <c r="AV42" s="11" t="str">
        <f>ROUND(117.23*(1+AD6)*(1+AD5)+AD7,2)</f>
        <v>0</v>
      </c>
      <c r="AW42" s="11" t="str">
        <f>ROUND(124.02*(1+AD6)*(1+AD5)+AD7,2)</f>
        <v>0</v>
      </c>
      <c r="AX42" s="11" t="str">
        <f>ROUND(129.3*(1+AD6)*(1+AD5)+AD7,2)</f>
        <v>0</v>
      </c>
      <c r="AY42" s="11" t="str">
        <f>ROUND(134.99*(1+AD6)*(1+AD5)+AD7,2)</f>
        <v>0</v>
      </c>
      <c r="AZ42" s="11" t="str">
        <f>ROUND(140.37*(1+AD6)*(1+AD5)+AD7,2)</f>
        <v>0</v>
      </c>
      <c r="BA42" s="11" t="str">
        <f>ROUND(145.98*(1+AD6)*(1+AD5)+AD7,2)</f>
        <v>0</v>
      </c>
      <c r="BB42" s="11" t="str">
        <f>ROUND(153.35*(1+AD6)*(1+AD5)+AD7,2)</f>
        <v>0</v>
      </c>
      <c r="BC42" s="11" t="str">
        <f>ROUND(161.53*(1+AD6)*(1+AD5)+AD7,2)</f>
        <v>0</v>
      </c>
      <c r="BD42" s="11" t="str">
        <f>ROUND(168.86*(1+AD6)*(1+AD5)+AD7,2)</f>
        <v>0</v>
      </c>
      <c r="BE42" t="str">
        <f>ROUND(174.27*(1+AD6)*(1+AD5)+AD7,2)</f>
        <v>0</v>
      </c>
      <c r="BF42" t="str">
        <f>ROUND(180.02*(1+AD6)*(1+AD5)+AD7,2)</f>
        <v>0</v>
      </c>
    </row>
    <row r="43" spans="1:58">
      <c r="A43" s="11"/>
      <c r="B43" s="13"/>
      <c r="C43" s="17">
        <v>1200</v>
      </c>
      <c r="D43" s="11">
        <v>48.91</v>
      </c>
      <c r="E43" s="11">
        <v>54.34</v>
      </c>
      <c r="F43" s="11">
        <v>59.73</v>
      </c>
      <c r="G43" s="11">
        <v>65.21</v>
      </c>
      <c r="H43" s="11">
        <v>71.43</v>
      </c>
      <c r="I43" s="11">
        <v>77.71</v>
      </c>
      <c r="J43" s="11">
        <v>84.01</v>
      </c>
      <c r="K43" s="11">
        <v>89.71</v>
      </c>
      <c r="L43" s="11">
        <v>95.97</v>
      </c>
      <c r="M43" s="11">
        <v>101.6</v>
      </c>
      <c r="N43" s="11">
        <v>109.04</v>
      </c>
      <c r="O43" s="11">
        <v>112.85</v>
      </c>
      <c r="P43" s="11">
        <v>119.05</v>
      </c>
      <c r="Q43" s="11">
        <v>125.93</v>
      </c>
      <c r="R43" s="11">
        <v>131.35</v>
      </c>
      <c r="S43" s="11">
        <v>137.18</v>
      </c>
      <c r="T43" s="11">
        <v>142.67</v>
      </c>
      <c r="U43" s="11">
        <v>148.42</v>
      </c>
      <c r="V43" s="11">
        <v>155.9</v>
      </c>
      <c r="W43" s="11">
        <v>164.16</v>
      </c>
      <c r="X43" s="11">
        <v>171.64</v>
      </c>
      <c r="Y43" s="11">
        <v>177.15</v>
      </c>
      <c r="Z43" s="11">
        <v>183.02</v>
      </c>
      <c r="AA43" s="11"/>
      <c r="AB43" s="11"/>
      <c r="AC43" s="11"/>
      <c r="AD43" s="11"/>
      <c r="AE43" s="11"/>
      <c r="AF43" s="11"/>
      <c r="AG43" s="12"/>
      <c r="AH43" s="13"/>
      <c r="AI43" s="17">
        <v>1200</v>
      </c>
      <c r="AJ43" s="11" t="str">
        <f>ROUND(48.91*(1+AD6)*(1+AD5)+AD7,2)</f>
        <v>0</v>
      </c>
      <c r="AK43" s="11" t="str">
        <f>ROUND(54.34*(1+AD6)*(1+AD5)+AD7,2)</f>
        <v>0</v>
      </c>
      <c r="AL43" s="11" t="str">
        <f>ROUND(59.73*(1+AD6)*(1+AD5)+AD7,2)</f>
        <v>0</v>
      </c>
      <c r="AM43" s="11" t="str">
        <f>ROUND(65.21*(1+AD6)*(1+AD5)+AD7,2)</f>
        <v>0</v>
      </c>
      <c r="AN43" s="11" t="str">
        <f>ROUND(71.43*(1+AD6)*(1+AD5)+AD7,2)</f>
        <v>0</v>
      </c>
      <c r="AO43" s="11" t="str">
        <f>ROUND(77.71*(1+AD6)*(1+AD5)+AD7,2)</f>
        <v>0</v>
      </c>
      <c r="AP43" s="11" t="str">
        <f>ROUND(84.01*(1+AD6)*(1+AD5)+AD7,2)</f>
        <v>0</v>
      </c>
      <c r="AQ43" s="11" t="str">
        <f>ROUND(89.71*(1+AD6)*(1+AD5)+AD7,2)</f>
        <v>0</v>
      </c>
      <c r="AR43" s="11" t="str">
        <f>ROUND(95.97*(1+AD6)*(1+AD5)+AD7,2)</f>
        <v>0</v>
      </c>
      <c r="AS43" s="11" t="str">
        <f>ROUND(101.6*(1+AD6)*(1+AD5)+AD7,2)</f>
        <v>0</v>
      </c>
      <c r="AT43" s="11" t="str">
        <f>ROUND(109.04*(1+AD6)*(1+AD5)+AD7,2)</f>
        <v>0</v>
      </c>
      <c r="AU43" s="11" t="str">
        <f>ROUND(112.85*(1+AD6)*(1+AD5)+AD7,2)</f>
        <v>0</v>
      </c>
      <c r="AV43" s="11" t="str">
        <f>ROUND(119.05*(1+AD6)*(1+AD5)+AD7,2)</f>
        <v>0</v>
      </c>
      <c r="AW43" s="11" t="str">
        <f>ROUND(125.93*(1+AD6)*(1+AD5)+AD7,2)</f>
        <v>0</v>
      </c>
      <c r="AX43" s="11" t="str">
        <f>ROUND(131.35*(1+AD6)*(1+AD5)+AD7,2)</f>
        <v>0</v>
      </c>
      <c r="AY43" s="11" t="str">
        <f>ROUND(137.18*(1+AD6)*(1+AD5)+AD7,2)</f>
        <v>0</v>
      </c>
      <c r="AZ43" s="11" t="str">
        <f>ROUND(142.67*(1+AD6)*(1+AD5)+AD7,2)</f>
        <v>0</v>
      </c>
      <c r="BA43" s="11" t="str">
        <f>ROUND(148.42*(1+AD6)*(1+AD5)+AD7,2)</f>
        <v>0</v>
      </c>
      <c r="BB43" s="11" t="str">
        <f>ROUND(155.9*(1+AD6)*(1+AD5)+AD7,2)</f>
        <v>0</v>
      </c>
      <c r="BC43" s="11" t="str">
        <f>ROUND(164.16*(1+AD6)*(1+AD5)+AD7,2)</f>
        <v>0</v>
      </c>
      <c r="BD43" s="11" t="str">
        <f>ROUND(171.64*(1+AD6)*(1+AD5)+AD7,2)</f>
        <v>0</v>
      </c>
      <c r="BE43" t="str">
        <f>ROUND(177.15*(1+AD6)*(1+AD5)+AD7,2)</f>
        <v>0</v>
      </c>
      <c r="BF43" t="str">
        <f>ROUND(183.02*(1+AD6)*(1+AD5)+AD7,2)</f>
        <v>0</v>
      </c>
    </row>
    <row r="44" spans="1:58">
      <c r="A44" s="11"/>
      <c r="B44" s="13"/>
      <c r="C44" s="17">
        <v>1300</v>
      </c>
      <c r="D44" s="11">
        <v>49.32</v>
      </c>
      <c r="E44" s="11">
        <v>54.87</v>
      </c>
      <c r="F44" s="11">
        <v>60.39</v>
      </c>
      <c r="G44" s="11">
        <v>65.98</v>
      </c>
      <c r="H44" s="11">
        <v>72.33</v>
      </c>
      <c r="I44" s="11">
        <v>78.59</v>
      </c>
      <c r="J44" s="11">
        <v>85.12</v>
      </c>
      <c r="K44" s="11">
        <v>90.97</v>
      </c>
      <c r="L44" s="11">
        <v>97.31</v>
      </c>
      <c r="M44" s="11">
        <v>103.05</v>
      </c>
      <c r="N44" s="11">
        <v>108.86</v>
      </c>
      <c r="O44" s="11">
        <v>114.58</v>
      </c>
      <c r="P44" s="11">
        <v>120.88</v>
      </c>
      <c r="Q44" s="11">
        <v>127.91</v>
      </c>
      <c r="R44" s="11">
        <v>133.42</v>
      </c>
      <c r="S44" s="11">
        <v>139.35</v>
      </c>
      <c r="T44" s="11">
        <v>144.99</v>
      </c>
      <c r="U44" s="11">
        <v>150.83</v>
      </c>
      <c r="V44" s="11">
        <v>158.44</v>
      </c>
      <c r="W44" s="11">
        <v>166.82</v>
      </c>
      <c r="X44" s="11">
        <v>174.43</v>
      </c>
      <c r="Y44" s="11">
        <v>180.05</v>
      </c>
      <c r="Z44" s="11">
        <v>186</v>
      </c>
      <c r="AA44" s="11"/>
      <c r="AB44" s="11"/>
      <c r="AC44" s="11"/>
      <c r="AD44" s="11"/>
      <c r="AE44" s="11"/>
      <c r="AF44" s="11"/>
      <c r="AG44" s="12"/>
      <c r="AH44" s="13"/>
      <c r="AI44" s="17">
        <v>1300</v>
      </c>
      <c r="AJ44" s="11" t="str">
        <f>ROUND(49.32*(1+AD6)*(1+AD5)+AD7,2)</f>
        <v>0</v>
      </c>
      <c r="AK44" s="11" t="str">
        <f>ROUND(54.87*(1+AD6)*(1+AD5)+AD7,2)</f>
        <v>0</v>
      </c>
      <c r="AL44" s="11" t="str">
        <f>ROUND(60.39*(1+AD6)*(1+AD5)+AD7,2)</f>
        <v>0</v>
      </c>
      <c r="AM44" s="11" t="str">
        <f>ROUND(65.98*(1+AD6)*(1+AD5)+AD7,2)</f>
        <v>0</v>
      </c>
      <c r="AN44" s="11" t="str">
        <f>ROUND(72.33*(1+AD6)*(1+AD5)+AD7,2)</f>
        <v>0</v>
      </c>
      <c r="AO44" s="11" t="str">
        <f>ROUND(78.59*(1+AD6)*(1+AD5)+AD7,2)</f>
        <v>0</v>
      </c>
      <c r="AP44" s="11" t="str">
        <f>ROUND(85.12*(1+AD6)*(1+AD5)+AD7,2)</f>
        <v>0</v>
      </c>
      <c r="AQ44" s="11" t="str">
        <f>ROUND(90.97*(1+AD6)*(1+AD5)+AD7,2)</f>
        <v>0</v>
      </c>
      <c r="AR44" s="11" t="str">
        <f>ROUND(97.31*(1+AD6)*(1+AD5)+AD7,2)</f>
        <v>0</v>
      </c>
      <c r="AS44" s="11" t="str">
        <f>ROUND(103.05*(1+AD6)*(1+AD5)+AD7,2)</f>
        <v>0</v>
      </c>
      <c r="AT44" s="11" t="str">
        <f>ROUND(108.86*(1+AD6)*(1+AD5)+AD7,2)</f>
        <v>0</v>
      </c>
      <c r="AU44" s="11" t="str">
        <f>ROUND(114.58*(1+AD6)*(1+AD5)+AD7,2)</f>
        <v>0</v>
      </c>
      <c r="AV44" s="11" t="str">
        <f>ROUND(120.88*(1+AD6)*(1+AD5)+AD7,2)</f>
        <v>0</v>
      </c>
      <c r="AW44" s="11" t="str">
        <f>ROUND(127.91*(1+AD6)*(1+AD5)+AD7,2)</f>
        <v>0</v>
      </c>
      <c r="AX44" s="11" t="str">
        <f>ROUND(133.42*(1+AD6)*(1+AD5)+AD7,2)</f>
        <v>0</v>
      </c>
      <c r="AY44" s="11" t="str">
        <f>ROUND(139.35*(1+AD6)*(1+AD5)+AD7,2)</f>
        <v>0</v>
      </c>
      <c r="AZ44" s="11" t="str">
        <f>ROUND(144.99*(1+AD6)*(1+AD5)+AD7,2)</f>
        <v>0</v>
      </c>
      <c r="BA44" s="11" t="str">
        <f>ROUND(150.83*(1+AD6)*(1+AD5)+AD7,2)</f>
        <v>0</v>
      </c>
      <c r="BB44" s="11" t="str">
        <f>ROUND(158.44*(1+AD6)*(1+AD5)+AD7,2)</f>
        <v>0</v>
      </c>
      <c r="BC44" s="11" t="str">
        <f>ROUND(166.82*(1+AD6)*(1+AD5)+AD7,2)</f>
        <v>0</v>
      </c>
      <c r="BD44" s="11" t="str">
        <f>ROUND(174.43*(1+AD6)*(1+AD5)+AD7,2)</f>
        <v>0</v>
      </c>
      <c r="BE44" t="str">
        <f>ROUND(180.05*(1+AD6)*(1+AD5)+AD7,2)</f>
        <v>0</v>
      </c>
      <c r="BF44" t="str">
        <f>ROUND(186*(1+AD6)*(1+AD5)+AD7,2)</f>
        <v>0</v>
      </c>
    </row>
    <row r="45" spans="1:58">
      <c r="A45" s="11"/>
      <c r="B45" s="13"/>
      <c r="C45" s="17">
        <v>1400</v>
      </c>
      <c r="D45" s="11">
        <v>49.74</v>
      </c>
      <c r="E45" s="11">
        <v>55.41</v>
      </c>
      <c r="F45" s="11">
        <v>61.04</v>
      </c>
      <c r="G45" s="11">
        <v>66.77</v>
      </c>
      <c r="H45" s="11">
        <v>73.24</v>
      </c>
      <c r="I45" s="11">
        <v>79.71</v>
      </c>
      <c r="J45" s="11">
        <v>86.27</v>
      </c>
      <c r="K45" s="11">
        <v>92.22</v>
      </c>
      <c r="L45" s="11">
        <v>98.65</v>
      </c>
      <c r="M45" s="11">
        <v>104.55</v>
      </c>
      <c r="N45" s="11">
        <v>110.45</v>
      </c>
      <c r="O45" s="11">
        <v>116.29</v>
      </c>
      <c r="P45" s="11">
        <v>122.71</v>
      </c>
      <c r="Q45" s="11">
        <v>129.83</v>
      </c>
      <c r="R45" s="11">
        <v>135.47</v>
      </c>
      <c r="S45" s="11">
        <v>141.52</v>
      </c>
      <c r="T45" s="11">
        <v>147.29</v>
      </c>
      <c r="U45" s="11">
        <v>153.25</v>
      </c>
      <c r="V45" s="11">
        <v>160.96</v>
      </c>
      <c r="W45" s="11">
        <v>169.48</v>
      </c>
      <c r="X45" s="11">
        <v>177.22</v>
      </c>
      <c r="Y45" s="11">
        <v>182.95</v>
      </c>
      <c r="Z45" s="11">
        <v>188.98</v>
      </c>
      <c r="AA45" s="11"/>
      <c r="AB45" s="11"/>
      <c r="AC45" s="11"/>
      <c r="AD45" s="11"/>
      <c r="AE45" s="11"/>
      <c r="AF45" s="11"/>
      <c r="AG45" s="12"/>
      <c r="AH45" s="13"/>
      <c r="AI45" s="17">
        <v>1400</v>
      </c>
      <c r="AJ45" s="11" t="str">
        <f>ROUND(49.74*(1+AD6)*(1+AD5)+AD7,2)</f>
        <v>0</v>
      </c>
      <c r="AK45" s="11" t="str">
        <f>ROUND(55.41*(1+AD6)*(1+AD5)+AD7,2)</f>
        <v>0</v>
      </c>
      <c r="AL45" s="11" t="str">
        <f>ROUND(61.04*(1+AD6)*(1+AD5)+AD7,2)</f>
        <v>0</v>
      </c>
      <c r="AM45" s="11" t="str">
        <f>ROUND(66.77*(1+AD6)*(1+AD5)+AD7,2)</f>
        <v>0</v>
      </c>
      <c r="AN45" s="11" t="str">
        <f>ROUND(73.24*(1+AD6)*(1+AD5)+AD7,2)</f>
        <v>0</v>
      </c>
      <c r="AO45" s="11" t="str">
        <f>ROUND(79.71*(1+AD6)*(1+AD5)+AD7,2)</f>
        <v>0</v>
      </c>
      <c r="AP45" s="11" t="str">
        <f>ROUND(86.27*(1+AD6)*(1+AD5)+AD7,2)</f>
        <v>0</v>
      </c>
      <c r="AQ45" s="11" t="str">
        <f>ROUND(92.22*(1+AD6)*(1+AD5)+AD7,2)</f>
        <v>0</v>
      </c>
      <c r="AR45" s="11" t="str">
        <f>ROUND(98.65*(1+AD6)*(1+AD5)+AD7,2)</f>
        <v>0</v>
      </c>
      <c r="AS45" s="11" t="str">
        <f>ROUND(104.55*(1+AD6)*(1+AD5)+AD7,2)</f>
        <v>0</v>
      </c>
      <c r="AT45" s="11" t="str">
        <f>ROUND(110.45*(1+AD6)*(1+AD5)+AD7,2)</f>
        <v>0</v>
      </c>
      <c r="AU45" s="11" t="str">
        <f>ROUND(116.29*(1+AD6)*(1+AD5)+AD7,2)</f>
        <v>0</v>
      </c>
      <c r="AV45" s="11" t="str">
        <f>ROUND(122.71*(1+AD6)*(1+AD5)+AD7,2)</f>
        <v>0</v>
      </c>
      <c r="AW45" s="11" t="str">
        <f>ROUND(129.83*(1+AD6)*(1+AD5)+AD7,2)</f>
        <v>0</v>
      </c>
      <c r="AX45" s="11" t="str">
        <f>ROUND(135.47*(1+AD6)*(1+AD5)+AD7,2)</f>
        <v>0</v>
      </c>
      <c r="AY45" s="11" t="str">
        <f>ROUND(141.52*(1+AD6)*(1+AD5)+AD7,2)</f>
        <v>0</v>
      </c>
      <c r="AZ45" s="11" t="str">
        <f>ROUND(147.29*(1+AD6)*(1+AD5)+AD7,2)</f>
        <v>0</v>
      </c>
      <c r="BA45" s="11" t="str">
        <f>ROUND(153.25*(1+AD6)*(1+AD5)+AD7,2)</f>
        <v>0</v>
      </c>
      <c r="BB45" s="11" t="str">
        <f>ROUND(160.96*(1+AD6)*(1+AD5)+AD7,2)</f>
        <v>0</v>
      </c>
      <c r="BC45" s="11" t="str">
        <f>ROUND(169.48*(1+AD6)*(1+AD5)+AD7,2)</f>
        <v>0</v>
      </c>
      <c r="BD45" s="11" t="str">
        <f>ROUND(177.22*(1+AD6)*(1+AD5)+AD7,2)</f>
        <v>0</v>
      </c>
      <c r="BE45" t="str">
        <f>ROUND(182.95*(1+AD6)*(1+AD5)+AD7,2)</f>
        <v>0</v>
      </c>
      <c r="BF45" t="str">
        <f>ROUND(188.98*(1+AD6)*(1+AD5)+AD7,2)</f>
        <v>0</v>
      </c>
    </row>
    <row r="46" spans="1:58">
      <c r="A46" s="11"/>
      <c r="B46" s="13"/>
      <c r="C46" s="17">
        <v>1500</v>
      </c>
      <c r="D46" s="11">
        <v>50.17</v>
      </c>
      <c r="E46" s="11">
        <v>55.93</v>
      </c>
      <c r="F46" s="11">
        <v>61.7</v>
      </c>
      <c r="G46" s="11">
        <v>67.53</v>
      </c>
      <c r="H46" s="11">
        <v>74.11</v>
      </c>
      <c r="I46" s="11">
        <v>80.72</v>
      </c>
      <c r="J46" s="11">
        <v>87.37</v>
      </c>
      <c r="K46" s="11">
        <v>93.48</v>
      </c>
      <c r="L46" s="11">
        <v>100.01</v>
      </c>
      <c r="M46" s="11">
        <v>106.03</v>
      </c>
      <c r="N46" s="11">
        <v>112.05</v>
      </c>
      <c r="O46" s="11">
        <v>118</v>
      </c>
      <c r="P46" s="11">
        <v>124.56</v>
      </c>
      <c r="Q46" s="11">
        <v>131.78</v>
      </c>
      <c r="R46" s="11">
        <v>137.57</v>
      </c>
      <c r="S46" s="11">
        <v>143.72</v>
      </c>
      <c r="T46" s="11">
        <v>149.59</v>
      </c>
      <c r="U46" s="11">
        <v>155.66</v>
      </c>
      <c r="V46" s="11">
        <v>163.53</v>
      </c>
      <c r="W46" s="11">
        <v>172.15</v>
      </c>
      <c r="X46" s="11">
        <v>180.01</v>
      </c>
      <c r="Y46" s="11">
        <v>185.85</v>
      </c>
      <c r="Z46" s="11">
        <v>191.96</v>
      </c>
      <c r="AA46" s="11"/>
      <c r="AB46" s="11"/>
      <c r="AC46" s="11"/>
      <c r="AD46" s="11"/>
      <c r="AE46" s="11"/>
      <c r="AF46" s="11"/>
      <c r="AG46" s="12"/>
      <c r="AH46" s="13"/>
      <c r="AI46" s="17">
        <v>1500</v>
      </c>
      <c r="AJ46" s="11" t="str">
        <f>ROUND(50.17*(1+AD6)*(1+AD5)+AD7,2)</f>
        <v>0</v>
      </c>
      <c r="AK46" s="11" t="str">
        <f>ROUND(55.93*(1+AD6)*(1+AD5)+AD7,2)</f>
        <v>0</v>
      </c>
      <c r="AL46" s="11" t="str">
        <f>ROUND(61.7*(1+AD6)*(1+AD5)+AD7,2)</f>
        <v>0</v>
      </c>
      <c r="AM46" s="11" t="str">
        <f>ROUND(67.53*(1+AD6)*(1+AD5)+AD7,2)</f>
        <v>0</v>
      </c>
      <c r="AN46" s="11" t="str">
        <f>ROUND(74.11*(1+AD6)*(1+AD5)+AD7,2)</f>
        <v>0</v>
      </c>
      <c r="AO46" s="11" t="str">
        <f>ROUND(80.72*(1+AD6)*(1+AD5)+AD7,2)</f>
        <v>0</v>
      </c>
      <c r="AP46" s="11" t="str">
        <f>ROUND(87.37*(1+AD6)*(1+AD5)+AD7,2)</f>
        <v>0</v>
      </c>
      <c r="AQ46" s="11" t="str">
        <f>ROUND(93.48*(1+AD6)*(1+AD5)+AD7,2)</f>
        <v>0</v>
      </c>
      <c r="AR46" s="11" t="str">
        <f>ROUND(100.01*(1+AD6)*(1+AD5)+AD7,2)</f>
        <v>0</v>
      </c>
      <c r="AS46" s="11" t="str">
        <f>ROUND(106.03*(1+AD6)*(1+AD5)+AD7,2)</f>
        <v>0</v>
      </c>
      <c r="AT46" s="11" t="str">
        <f>ROUND(112.05*(1+AD6)*(1+AD5)+AD7,2)</f>
        <v>0</v>
      </c>
      <c r="AU46" s="11" t="str">
        <f>ROUND(118*(1+AD6)*(1+AD5)+AD7,2)</f>
        <v>0</v>
      </c>
      <c r="AV46" s="11" t="str">
        <f>ROUND(124.56*(1+AD6)*(1+AD5)+AD7,2)</f>
        <v>0</v>
      </c>
      <c r="AW46" s="11" t="str">
        <f>ROUND(131.78*(1+AD6)*(1+AD5)+AD7,2)</f>
        <v>0</v>
      </c>
      <c r="AX46" s="11" t="str">
        <f>ROUND(137.57*(1+AD6)*(1+AD5)+AD7,2)</f>
        <v>0</v>
      </c>
      <c r="AY46" s="11" t="str">
        <f>ROUND(143.72*(1+AD6)*(1+AD5)+AD7,2)</f>
        <v>0</v>
      </c>
      <c r="AZ46" s="11" t="str">
        <f>ROUND(149.59*(1+AD6)*(1+AD5)+AD7,2)</f>
        <v>0</v>
      </c>
      <c r="BA46" s="11" t="str">
        <f>ROUND(155.66*(1+AD6)*(1+AD5)+AD7,2)</f>
        <v>0</v>
      </c>
      <c r="BB46" s="11" t="str">
        <f>ROUND(163.53*(1+AD6)*(1+AD5)+AD7,2)</f>
        <v>0</v>
      </c>
      <c r="BC46" s="11" t="str">
        <f>ROUND(172.15*(1+AD6)*(1+AD5)+AD7,2)</f>
        <v>0</v>
      </c>
      <c r="BD46" s="11" t="str">
        <f>ROUND(180.01*(1+AD6)*(1+AD5)+AD7,2)</f>
        <v>0</v>
      </c>
      <c r="BE46" t="str">
        <f>ROUND(185.85*(1+AD6)*(1+AD5)+AD7,2)</f>
        <v>0</v>
      </c>
      <c r="BF46" t="str">
        <f>ROUND(191.96*(1+AD6)*(1+AD5)+AD7,2)</f>
        <v>0</v>
      </c>
    </row>
    <row r="47" spans="1:58">
      <c r="A47" s="11"/>
      <c r="B47" s="13"/>
      <c r="C47" s="17">
        <v>1600</v>
      </c>
      <c r="D47" s="11">
        <v>50.59</v>
      </c>
      <c r="E47" s="11">
        <v>56.49</v>
      </c>
      <c r="F47" s="11">
        <v>62.33</v>
      </c>
      <c r="G47" s="11">
        <v>68.29</v>
      </c>
      <c r="H47" s="11">
        <v>75</v>
      </c>
      <c r="I47" s="11">
        <v>81.73</v>
      </c>
      <c r="J47" s="11">
        <v>88.52</v>
      </c>
      <c r="K47" s="11">
        <v>94.69</v>
      </c>
      <c r="L47" s="11">
        <v>101.38</v>
      </c>
      <c r="M47" s="11">
        <v>107.48</v>
      </c>
      <c r="N47" s="11">
        <v>113.65</v>
      </c>
      <c r="O47" s="11">
        <v>119.72</v>
      </c>
      <c r="P47" s="11">
        <v>126.41</v>
      </c>
      <c r="Q47" s="11">
        <v>133.76</v>
      </c>
      <c r="R47" s="11">
        <v>139.61</v>
      </c>
      <c r="S47" s="11">
        <v>145.93</v>
      </c>
      <c r="T47" s="11">
        <v>151.91</v>
      </c>
      <c r="U47" s="11">
        <v>158.11</v>
      </c>
      <c r="V47" s="11">
        <v>166.06</v>
      </c>
      <c r="W47" s="11">
        <v>174.8</v>
      </c>
      <c r="X47" s="11">
        <v>182.78</v>
      </c>
      <c r="Y47" s="11">
        <v>188.75</v>
      </c>
      <c r="Z47" s="11">
        <v>194.94</v>
      </c>
      <c r="AA47" s="11"/>
      <c r="AB47" s="11"/>
      <c r="AC47" s="11"/>
      <c r="AD47" s="11"/>
      <c r="AE47" s="11"/>
      <c r="AF47" s="11"/>
      <c r="AG47" s="12"/>
      <c r="AH47" s="13"/>
      <c r="AI47" s="17">
        <v>1600</v>
      </c>
      <c r="AJ47" s="11" t="str">
        <f>ROUND(50.59*(1+AD6)*(1+AD5)+AD7,2)</f>
        <v>0</v>
      </c>
      <c r="AK47" s="11" t="str">
        <f>ROUND(56.49*(1+AD6)*(1+AD5)+AD7,2)</f>
        <v>0</v>
      </c>
      <c r="AL47" s="11" t="str">
        <f>ROUND(62.33*(1+AD6)*(1+AD5)+AD7,2)</f>
        <v>0</v>
      </c>
      <c r="AM47" s="11" t="str">
        <f>ROUND(68.29*(1+AD6)*(1+AD5)+AD7,2)</f>
        <v>0</v>
      </c>
      <c r="AN47" s="11" t="str">
        <f>ROUND(75*(1+AD6)*(1+AD5)+AD7,2)</f>
        <v>0</v>
      </c>
      <c r="AO47" s="11" t="str">
        <f>ROUND(81.73*(1+AD6)*(1+AD5)+AD7,2)</f>
        <v>0</v>
      </c>
      <c r="AP47" s="11" t="str">
        <f>ROUND(88.52*(1+AD6)*(1+AD5)+AD7,2)</f>
        <v>0</v>
      </c>
      <c r="AQ47" s="11" t="str">
        <f>ROUND(94.69*(1+AD6)*(1+AD5)+AD7,2)</f>
        <v>0</v>
      </c>
      <c r="AR47" s="11" t="str">
        <f>ROUND(101.38*(1+AD6)*(1+AD5)+AD7,2)</f>
        <v>0</v>
      </c>
      <c r="AS47" s="11" t="str">
        <f>ROUND(107.48*(1+AD6)*(1+AD5)+AD7,2)</f>
        <v>0</v>
      </c>
      <c r="AT47" s="11" t="str">
        <f>ROUND(113.65*(1+AD6)*(1+AD5)+AD7,2)</f>
        <v>0</v>
      </c>
      <c r="AU47" s="11" t="str">
        <f>ROUND(119.72*(1+AD6)*(1+AD5)+AD7,2)</f>
        <v>0</v>
      </c>
      <c r="AV47" s="11" t="str">
        <f>ROUND(126.41*(1+AD6)*(1+AD5)+AD7,2)</f>
        <v>0</v>
      </c>
      <c r="AW47" s="11" t="str">
        <f>ROUND(133.76*(1+AD6)*(1+AD5)+AD7,2)</f>
        <v>0</v>
      </c>
      <c r="AX47" s="11" t="str">
        <f>ROUND(139.61*(1+AD6)*(1+AD5)+AD7,2)</f>
        <v>0</v>
      </c>
      <c r="AY47" s="11" t="str">
        <f>ROUND(145.93*(1+AD6)*(1+AD5)+AD7,2)</f>
        <v>0</v>
      </c>
      <c r="AZ47" s="11" t="str">
        <f>ROUND(151.91*(1+AD6)*(1+AD5)+AD7,2)</f>
        <v>0</v>
      </c>
      <c r="BA47" s="11" t="str">
        <f>ROUND(158.11*(1+AD6)*(1+AD5)+AD7,2)</f>
        <v>0</v>
      </c>
      <c r="BB47" s="11" t="str">
        <f>ROUND(166.06*(1+AD6)*(1+AD5)+AD7,2)</f>
        <v>0</v>
      </c>
      <c r="BC47" s="11" t="str">
        <f>ROUND(174.8*(1+AD6)*(1+AD5)+AD7,2)</f>
        <v>0</v>
      </c>
      <c r="BD47" s="11" t="str">
        <f>ROUND(182.78*(1+AD6)*(1+AD5)+AD7,2)</f>
        <v>0</v>
      </c>
      <c r="BE47" t="str">
        <f>ROUND(188.75*(1+AD6)*(1+AD5)+AD7,2)</f>
        <v>0</v>
      </c>
      <c r="BF47" t="str">
        <f>ROUND(194.94*(1+AD6)*(1+AD5)+AD7,2)</f>
        <v>0</v>
      </c>
    </row>
    <row r="48" spans="1:58">
      <c r="A48" s="11"/>
      <c r="B48" s="13"/>
      <c r="C48" s="17">
        <v>1700</v>
      </c>
      <c r="D48" s="11">
        <v>50.99</v>
      </c>
      <c r="E48" s="11">
        <v>57.02</v>
      </c>
      <c r="F48" s="11">
        <v>62.99</v>
      </c>
      <c r="G48" s="11">
        <v>69.07</v>
      </c>
      <c r="H48" s="11">
        <v>75.9</v>
      </c>
      <c r="I48" s="11">
        <v>82.74</v>
      </c>
      <c r="J48" s="11">
        <v>89.65</v>
      </c>
      <c r="K48" s="11">
        <v>95.93</v>
      </c>
      <c r="L48" s="11">
        <v>102.76</v>
      </c>
      <c r="M48" s="11">
        <v>109</v>
      </c>
      <c r="N48" s="11">
        <v>115.23</v>
      </c>
      <c r="O48" s="11">
        <v>121.43</v>
      </c>
      <c r="P48" s="11">
        <v>128.24</v>
      </c>
      <c r="Q48" s="11">
        <v>135.69</v>
      </c>
      <c r="R48" s="11">
        <v>141.68</v>
      </c>
      <c r="S48" s="11">
        <v>148.11</v>
      </c>
      <c r="T48" s="11">
        <v>154.21</v>
      </c>
      <c r="U48" s="11">
        <v>160.51</v>
      </c>
      <c r="V48" s="11">
        <v>168.6</v>
      </c>
      <c r="W48" s="11">
        <v>177.46</v>
      </c>
      <c r="X48" s="11">
        <v>185.54</v>
      </c>
      <c r="Y48" s="11">
        <v>191.64</v>
      </c>
      <c r="Z48" s="11">
        <v>197.93</v>
      </c>
      <c r="AA48" s="11"/>
      <c r="AB48" s="11"/>
      <c r="AC48" s="11"/>
      <c r="AD48" s="11"/>
      <c r="AE48" s="11"/>
      <c r="AF48" s="11"/>
      <c r="AG48" s="12"/>
      <c r="AH48" s="13"/>
      <c r="AI48" s="17">
        <v>1700</v>
      </c>
      <c r="AJ48" s="11" t="str">
        <f>ROUND(50.99*(1+AD6)*(1+AD5)+AD7,2)</f>
        <v>0</v>
      </c>
      <c r="AK48" s="11" t="str">
        <f>ROUND(57.02*(1+AD6)*(1+AD5)+AD7,2)</f>
        <v>0</v>
      </c>
      <c r="AL48" s="11" t="str">
        <f>ROUND(62.99*(1+AD6)*(1+AD5)+AD7,2)</f>
        <v>0</v>
      </c>
      <c r="AM48" s="11" t="str">
        <f>ROUND(69.07*(1+AD6)*(1+AD5)+AD7,2)</f>
        <v>0</v>
      </c>
      <c r="AN48" s="11" t="str">
        <f>ROUND(75.9*(1+AD6)*(1+AD5)+AD7,2)</f>
        <v>0</v>
      </c>
      <c r="AO48" s="11" t="str">
        <f>ROUND(82.74*(1+AD6)*(1+AD5)+AD7,2)</f>
        <v>0</v>
      </c>
      <c r="AP48" s="11" t="str">
        <f>ROUND(89.65*(1+AD6)*(1+AD5)+AD7,2)</f>
        <v>0</v>
      </c>
      <c r="AQ48" s="11" t="str">
        <f>ROUND(95.93*(1+AD6)*(1+AD5)+AD7,2)</f>
        <v>0</v>
      </c>
      <c r="AR48" s="11" t="str">
        <f>ROUND(102.76*(1+AD6)*(1+AD5)+AD7,2)</f>
        <v>0</v>
      </c>
      <c r="AS48" s="11" t="str">
        <f>ROUND(109*(1+AD6)*(1+AD5)+AD7,2)</f>
        <v>0</v>
      </c>
      <c r="AT48" s="11" t="str">
        <f>ROUND(115.23*(1+AD6)*(1+AD5)+AD7,2)</f>
        <v>0</v>
      </c>
      <c r="AU48" s="11" t="str">
        <f>ROUND(121.43*(1+AD6)*(1+AD5)+AD7,2)</f>
        <v>0</v>
      </c>
      <c r="AV48" s="11" t="str">
        <f>ROUND(128.24*(1+AD6)*(1+AD5)+AD7,2)</f>
        <v>0</v>
      </c>
      <c r="AW48" s="11" t="str">
        <f>ROUND(135.69*(1+AD6)*(1+AD5)+AD7,2)</f>
        <v>0</v>
      </c>
      <c r="AX48" s="11" t="str">
        <f>ROUND(141.68*(1+AD6)*(1+AD5)+AD7,2)</f>
        <v>0</v>
      </c>
      <c r="AY48" s="11" t="str">
        <f>ROUND(148.11*(1+AD6)*(1+AD5)+AD7,2)</f>
        <v>0</v>
      </c>
      <c r="AZ48" s="11" t="str">
        <f>ROUND(154.21*(1+AD6)*(1+AD5)+AD7,2)</f>
        <v>0</v>
      </c>
      <c r="BA48" s="11" t="str">
        <f>ROUND(160.51*(1+AD6)*(1+AD5)+AD7,2)</f>
        <v>0</v>
      </c>
      <c r="BB48" s="11" t="str">
        <f>ROUND(168.6*(1+AD6)*(1+AD5)+AD7,2)</f>
        <v>0</v>
      </c>
      <c r="BC48" s="11" t="str">
        <f>ROUND(177.46*(1+AD6)*(1+AD5)+AD7,2)</f>
        <v>0</v>
      </c>
      <c r="BD48" s="11" t="str">
        <f>ROUND(185.54*(1+AD6)*(1+AD5)+AD7,2)</f>
        <v>0</v>
      </c>
      <c r="BE48" t="str">
        <f>ROUND(191.64*(1+AD6)*(1+AD5)+AD7,2)</f>
        <v>0</v>
      </c>
      <c r="BF48" t="str">
        <f>ROUND(197.93*(1+AD6)*(1+AD5)+AD7,2)</f>
        <v>0</v>
      </c>
    </row>
    <row r="49" spans="1:58">
      <c r="A49" s="11"/>
      <c r="B49" s="13"/>
      <c r="C49" s="17">
        <v>1800</v>
      </c>
      <c r="D49" s="11">
        <v>51.42</v>
      </c>
      <c r="E49" s="11">
        <v>57.54</v>
      </c>
      <c r="F49" s="11">
        <v>63.65</v>
      </c>
      <c r="G49" s="11">
        <v>69.84</v>
      </c>
      <c r="H49" s="11">
        <v>76.77</v>
      </c>
      <c r="I49" s="11">
        <v>83.74</v>
      </c>
      <c r="J49" s="11">
        <v>90.76</v>
      </c>
      <c r="K49" s="11">
        <v>97.19</v>
      </c>
      <c r="L49" s="11">
        <v>104.12</v>
      </c>
      <c r="M49" s="11">
        <v>110.46</v>
      </c>
      <c r="N49" s="11">
        <v>116.82</v>
      </c>
      <c r="O49" s="11">
        <v>123.16</v>
      </c>
      <c r="P49" s="11">
        <v>130.05</v>
      </c>
      <c r="Q49" s="11">
        <v>137.65</v>
      </c>
      <c r="R49" s="11">
        <v>143.77</v>
      </c>
      <c r="S49" s="11">
        <v>150.29</v>
      </c>
      <c r="T49" s="11">
        <v>156.51</v>
      </c>
      <c r="U49" s="11">
        <v>162.95</v>
      </c>
      <c r="V49" s="11">
        <v>171.12</v>
      </c>
      <c r="W49" s="11">
        <v>180.12</v>
      </c>
      <c r="X49" s="11">
        <v>188.33</v>
      </c>
      <c r="Y49" s="11">
        <v>194.53</v>
      </c>
      <c r="Z49" s="11">
        <v>200.9</v>
      </c>
      <c r="AA49" s="11"/>
      <c r="AB49" s="11"/>
      <c r="AC49" s="11"/>
      <c r="AD49" s="11"/>
      <c r="AE49" s="11"/>
      <c r="AF49" s="11"/>
      <c r="AG49" s="12"/>
      <c r="AH49" s="13"/>
      <c r="AI49" s="17">
        <v>1800</v>
      </c>
      <c r="AJ49" s="11" t="str">
        <f>ROUND(51.42*(1+AD6)*(1+AD5)+AD7,2)</f>
        <v>0</v>
      </c>
      <c r="AK49" s="11" t="str">
        <f>ROUND(57.54*(1+AD6)*(1+AD5)+AD7,2)</f>
        <v>0</v>
      </c>
      <c r="AL49" s="11" t="str">
        <f>ROUND(63.65*(1+AD6)*(1+AD5)+AD7,2)</f>
        <v>0</v>
      </c>
      <c r="AM49" s="11" t="str">
        <f>ROUND(69.84*(1+AD6)*(1+AD5)+AD7,2)</f>
        <v>0</v>
      </c>
      <c r="AN49" s="11" t="str">
        <f>ROUND(76.77*(1+AD6)*(1+AD5)+AD7,2)</f>
        <v>0</v>
      </c>
      <c r="AO49" s="11" t="str">
        <f>ROUND(83.74*(1+AD6)*(1+AD5)+AD7,2)</f>
        <v>0</v>
      </c>
      <c r="AP49" s="11" t="str">
        <f>ROUND(90.76*(1+AD6)*(1+AD5)+AD7,2)</f>
        <v>0</v>
      </c>
      <c r="AQ49" s="11" t="str">
        <f>ROUND(97.19*(1+AD6)*(1+AD5)+AD7,2)</f>
        <v>0</v>
      </c>
      <c r="AR49" s="11" t="str">
        <f>ROUND(104.12*(1+AD6)*(1+AD5)+AD7,2)</f>
        <v>0</v>
      </c>
      <c r="AS49" s="11" t="str">
        <f>ROUND(110.46*(1+AD6)*(1+AD5)+AD7,2)</f>
        <v>0</v>
      </c>
      <c r="AT49" s="11" t="str">
        <f>ROUND(116.82*(1+AD6)*(1+AD5)+AD7,2)</f>
        <v>0</v>
      </c>
      <c r="AU49" s="11" t="str">
        <f>ROUND(123.16*(1+AD6)*(1+AD5)+AD7,2)</f>
        <v>0</v>
      </c>
      <c r="AV49" s="11" t="str">
        <f>ROUND(130.05*(1+AD6)*(1+AD5)+AD7,2)</f>
        <v>0</v>
      </c>
      <c r="AW49" s="11" t="str">
        <f>ROUND(137.65*(1+AD6)*(1+AD5)+AD7,2)</f>
        <v>0</v>
      </c>
      <c r="AX49" s="11" t="str">
        <f>ROUND(143.77*(1+AD6)*(1+AD5)+AD7,2)</f>
        <v>0</v>
      </c>
      <c r="AY49" s="11" t="str">
        <f>ROUND(150.29*(1+AD6)*(1+AD5)+AD7,2)</f>
        <v>0</v>
      </c>
      <c r="AZ49" s="11" t="str">
        <f>ROUND(156.51*(1+AD6)*(1+AD5)+AD7,2)</f>
        <v>0</v>
      </c>
      <c r="BA49" s="11" t="str">
        <f>ROUND(162.95*(1+AD6)*(1+AD5)+AD7,2)</f>
        <v>0</v>
      </c>
      <c r="BB49" s="11" t="str">
        <f>ROUND(171.12*(1+AD6)*(1+AD5)+AD7,2)</f>
        <v>0</v>
      </c>
      <c r="BC49" s="11" t="str">
        <f>ROUND(180.12*(1+AD6)*(1+AD5)+AD7,2)</f>
        <v>0</v>
      </c>
      <c r="BD49" s="11" t="str">
        <f>ROUND(188.33*(1+AD6)*(1+AD5)+AD7,2)</f>
        <v>0</v>
      </c>
      <c r="BE49" t="str">
        <f>ROUND(194.53*(1+AD6)*(1+AD5)+AD7,2)</f>
        <v>0</v>
      </c>
      <c r="BF49" t="str">
        <f>ROUND(200.9*(1+AD6)*(1+AD5)+AD7,2)</f>
        <v>0</v>
      </c>
    </row>
    <row r="50" spans="1:58">
      <c r="A50" s="11"/>
      <c r="B50" s="13"/>
      <c r="C50" s="17">
        <v>1900</v>
      </c>
      <c r="D50" s="11">
        <v>51.83</v>
      </c>
      <c r="E50" s="11">
        <v>58.08</v>
      </c>
      <c r="F50" s="11">
        <v>64.3</v>
      </c>
      <c r="G50" s="11">
        <v>70.6</v>
      </c>
      <c r="H50" s="11">
        <v>77.68</v>
      </c>
      <c r="I50" s="11">
        <v>84.75</v>
      </c>
      <c r="J50" s="11">
        <v>91.88</v>
      </c>
      <c r="K50" s="11">
        <v>98.4</v>
      </c>
      <c r="L50" s="11">
        <v>105.48</v>
      </c>
      <c r="M50" s="11">
        <v>111.94</v>
      </c>
      <c r="N50" s="11">
        <v>118.42</v>
      </c>
      <c r="O50" s="11">
        <v>124.87</v>
      </c>
      <c r="P50" s="11">
        <v>131.89</v>
      </c>
      <c r="Q50" s="11">
        <v>139.59</v>
      </c>
      <c r="R50" s="11">
        <v>145.82</v>
      </c>
      <c r="S50" s="11">
        <v>152.49</v>
      </c>
      <c r="T50" s="11">
        <v>158.83</v>
      </c>
      <c r="U50" s="11">
        <v>165.34</v>
      </c>
      <c r="V50" s="11">
        <v>173.69</v>
      </c>
      <c r="W50" s="11">
        <v>182.79</v>
      </c>
      <c r="X50" s="11">
        <v>191.11</v>
      </c>
      <c r="Y50" s="11">
        <v>197.44</v>
      </c>
      <c r="Z50" s="11">
        <v>203.9</v>
      </c>
      <c r="AA50" s="11"/>
      <c r="AB50" s="11"/>
      <c r="AC50" s="11"/>
      <c r="AD50" s="11"/>
      <c r="AE50" s="11"/>
      <c r="AF50" s="11"/>
      <c r="AG50" s="12"/>
      <c r="AH50" s="13"/>
      <c r="AI50" s="17">
        <v>1900</v>
      </c>
      <c r="AJ50" s="11" t="str">
        <f>ROUND(51.83*(1+AD6)*(1+AD5)+AD7,2)</f>
        <v>0</v>
      </c>
      <c r="AK50" s="11" t="str">
        <f>ROUND(58.08*(1+AD6)*(1+AD5)+AD7,2)</f>
        <v>0</v>
      </c>
      <c r="AL50" s="11" t="str">
        <f>ROUND(64.3*(1+AD6)*(1+AD5)+AD7,2)</f>
        <v>0</v>
      </c>
      <c r="AM50" s="11" t="str">
        <f>ROUND(70.6*(1+AD6)*(1+AD5)+AD7,2)</f>
        <v>0</v>
      </c>
      <c r="AN50" s="11" t="str">
        <f>ROUND(77.68*(1+AD6)*(1+AD5)+AD7,2)</f>
        <v>0</v>
      </c>
      <c r="AO50" s="11" t="str">
        <f>ROUND(84.75*(1+AD6)*(1+AD5)+AD7,2)</f>
        <v>0</v>
      </c>
      <c r="AP50" s="11" t="str">
        <f>ROUND(91.88*(1+AD6)*(1+AD5)+AD7,2)</f>
        <v>0</v>
      </c>
      <c r="AQ50" s="11" t="str">
        <f>ROUND(98.4*(1+AD6)*(1+AD5)+AD7,2)</f>
        <v>0</v>
      </c>
      <c r="AR50" s="11" t="str">
        <f>ROUND(105.48*(1+AD6)*(1+AD5)+AD7,2)</f>
        <v>0</v>
      </c>
      <c r="AS50" s="11" t="str">
        <f>ROUND(111.94*(1+AD6)*(1+AD5)+AD7,2)</f>
        <v>0</v>
      </c>
      <c r="AT50" s="11" t="str">
        <f>ROUND(118.42*(1+AD6)*(1+AD5)+AD7,2)</f>
        <v>0</v>
      </c>
      <c r="AU50" s="11" t="str">
        <f>ROUND(124.87*(1+AD6)*(1+AD5)+AD7,2)</f>
        <v>0</v>
      </c>
      <c r="AV50" s="11" t="str">
        <f>ROUND(131.89*(1+AD6)*(1+AD5)+AD7,2)</f>
        <v>0</v>
      </c>
      <c r="AW50" s="11" t="str">
        <f>ROUND(139.59*(1+AD6)*(1+AD5)+AD7,2)</f>
        <v>0</v>
      </c>
      <c r="AX50" s="11" t="str">
        <f>ROUND(145.82*(1+AD6)*(1+AD5)+AD7,2)</f>
        <v>0</v>
      </c>
      <c r="AY50" s="11" t="str">
        <f>ROUND(152.49*(1+AD6)*(1+AD5)+AD7,2)</f>
        <v>0</v>
      </c>
      <c r="AZ50" s="11" t="str">
        <f>ROUND(158.83*(1+AD6)*(1+AD5)+AD7,2)</f>
        <v>0</v>
      </c>
      <c r="BA50" s="11" t="str">
        <f>ROUND(165.34*(1+AD6)*(1+AD5)+AD7,2)</f>
        <v>0</v>
      </c>
      <c r="BB50" s="11" t="str">
        <f>ROUND(173.69*(1+AD6)*(1+AD5)+AD7,2)</f>
        <v>0</v>
      </c>
      <c r="BC50" s="11" t="str">
        <f>ROUND(182.79*(1+AD6)*(1+AD5)+AD7,2)</f>
        <v>0</v>
      </c>
      <c r="BD50" s="11" t="str">
        <f>ROUND(191.11*(1+AD6)*(1+AD5)+AD7,2)</f>
        <v>0</v>
      </c>
      <c r="BE50" t="str">
        <f>ROUND(197.44*(1+AD6)*(1+AD5)+AD7,2)</f>
        <v>0</v>
      </c>
      <c r="BF50" t="str">
        <f>ROUND(203.9*(1+AD6)*(1+AD5)+AD7,2)</f>
        <v>0</v>
      </c>
    </row>
    <row r="51" spans="1:58">
      <c r="A51" s="11"/>
      <c r="B51" s="13"/>
      <c r="C51" s="17">
        <v>2000</v>
      </c>
      <c r="D51" s="11">
        <v>52.24</v>
      </c>
      <c r="E51" s="11">
        <v>58.61</v>
      </c>
      <c r="F51" s="11">
        <v>64.95</v>
      </c>
      <c r="G51" s="11">
        <v>71.38</v>
      </c>
      <c r="H51" s="11">
        <v>78.57</v>
      </c>
      <c r="I51" s="11">
        <v>85.75</v>
      </c>
      <c r="J51" s="11">
        <v>93</v>
      </c>
      <c r="K51" s="11">
        <v>99.67</v>
      </c>
      <c r="L51" s="11">
        <v>106.82</v>
      </c>
      <c r="M51" s="11">
        <v>113.42</v>
      </c>
      <c r="N51" s="11">
        <v>120.03</v>
      </c>
      <c r="O51" s="11">
        <v>126.59</v>
      </c>
      <c r="P51" s="11">
        <v>133.74</v>
      </c>
      <c r="Q51" s="11">
        <v>141.56</v>
      </c>
      <c r="R51" s="11">
        <v>147.89</v>
      </c>
      <c r="S51" s="11">
        <v>154.66</v>
      </c>
      <c r="T51" s="11">
        <v>161.12</v>
      </c>
      <c r="U51" s="11">
        <v>167.79</v>
      </c>
      <c r="V51" s="11">
        <v>176.24</v>
      </c>
      <c r="W51" s="11">
        <v>185.44</v>
      </c>
      <c r="X51" s="11">
        <v>193.89</v>
      </c>
      <c r="Y51" s="11">
        <v>200.34</v>
      </c>
      <c r="Z51" s="11">
        <v>206.88</v>
      </c>
      <c r="AA51" s="11"/>
      <c r="AB51" s="11"/>
      <c r="AC51" s="11"/>
      <c r="AD51" s="11"/>
      <c r="AE51" s="11"/>
      <c r="AF51" s="11"/>
      <c r="AG51" s="12"/>
      <c r="AH51" s="13"/>
      <c r="AI51" s="17">
        <v>2000</v>
      </c>
      <c r="AJ51" s="11" t="str">
        <f>ROUND(52.24*(1+AD6)*(1+AD5)+AD7,2)</f>
        <v>0</v>
      </c>
      <c r="AK51" s="11" t="str">
        <f>ROUND(58.61*(1+AD6)*(1+AD5)+AD7,2)</f>
        <v>0</v>
      </c>
      <c r="AL51" s="11" t="str">
        <f>ROUND(64.95*(1+AD6)*(1+AD5)+AD7,2)</f>
        <v>0</v>
      </c>
      <c r="AM51" s="11" t="str">
        <f>ROUND(71.38*(1+AD6)*(1+AD5)+AD7,2)</f>
        <v>0</v>
      </c>
      <c r="AN51" s="11" t="str">
        <f>ROUND(78.57*(1+AD6)*(1+AD5)+AD7,2)</f>
        <v>0</v>
      </c>
      <c r="AO51" s="11" t="str">
        <f>ROUND(85.75*(1+AD6)*(1+AD5)+AD7,2)</f>
        <v>0</v>
      </c>
      <c r="AP51" s="11" t="str">
        <f>ROUND(93*(1+AD6)*(1+AD5)+AD7,2)</f>
        <v>0</v>
      </c>
      <c r="AQ51" s="11" t="str">
        <f>ROUND(99.67*(1+AD6)*(1+AD5)+AD7,2)</f>
        <v>0</v>
      </c>
      <c r="AR51" s="11" t="str">
        <f>ROUND(106.82*(1+AD6)*(1+AD5)+AD7,2)</f>
        <v>0</v>
      </c>
      <c r="AS51" s="11" t="str">
        <f>ROUND(113.42*(1+AD6)*(1+AD5)+AD7,2)</f>
        <v>0</v>
      </c>
      <c r="AT51" s="11" t="str">
        <f>ROUND(120.03*(1+AD6)*(1+AD5)+AD7,2)</f>
        <v>0</v>
      </c>
      <c r="AU51" s="11" t="str">
        <f>ROUND(126.59*(1+AD6)*(1+AD5)+AD7,2)</f>
        <v>0</v>
      </c>
      <c r="AV51" s="11" t="str">
        <f>ROUND(133.74*(1+AD6)*(1+AD5)+AD7,2)</f>
        <v>0</v>
      </c>
      <c r="AW51" s="11" t="str">
        <f>ROUND(141.56*(1+AD6)*(1+AD5)+AD7,2)</f>
        <v>0</v>
      </c>
      <c r="AX51" s="11" t="str">
        <f>ROUND(147.89*(1+AD6)*(1+AD5)+AD7,2)</f>
        <v>0</v>
      </c>
      <c r="AY51" s="11" t="str">
        <f>ROUND(154.66*(1+AD6)*(1+AD5)+AD7,2)</f>
        <v>0</v>
      </c>
      <c r="AZ51" s="11" t="str">
        <f>ROUND(161.12*(1+AD6)*(1+AD5)+AD7,2)</f>
        <v>0</v>
      </c>
      <c r="BA51" s="11" t="str">
        <f>ROUND(167.79*(1+AD6)*(1+AD5)+AD7,2)</f>
        <v>0</v>
      </c>
      <c r="BB51" s="11" t="str">
        <f>ROUND(176.24*(1+AD6)*(1+AD5)+AD7,2)</f>
        <v>0</v>
      </c>
      <c r="BC51" s="11" t="str">
        <f>ROUND(185.44*(1+AD6)*(1+AD5)+AD7,2)</f>
        <v>0</v>
      </c>
      <c r="BD51" s="11" t="str">
        <f>ROUND(193.89*(1+AD6)*(1+AD5)+AD7,2)</f>
        <v>0</v>
      </c>
      <c r="BE51" t="str">
        <f>ROUND(200.34*(1+AD6)*(1+AD5)+AD7,2)</f>
        <v>0</v>
      </c>
      <c r="BF51" t="str">
        <f>ROUND(206.88*(1+AD6)*(1+AD5)+AD7,2)</f>
        <v>0</v>
      </c>
    </row>
    <row r="52" spans="1:58">
      <c r="A52" s="11"/>
      <c r="B52" s="13"/>
      <c r="C52" s="17">
        <v>2100</v>
      </c>
      <c r="D52" s="11">
        <v>52.66</v>
      </c>
      <c r="E52" s="11">
        <v>59.15</v>
      </c>
      <c r="F52" s="11">
        <v>65.62</v>
      </c>
      <c r="G52" s="11">
        <v>72.13</v>
      </c>
      <c r="H52" s="11">
        <v>79.44</v>
      </c>
      <c r="I52" s="11">
        <v>86.75</v>
      </c>
      <c r="J52" s="11">
        <v>94.14</v>
      </c>
      <c r="K52" s="11">
        <v>100.93</v>
      </c>
      <c r="L52" s="11">
        <v>108.19</v>
      </c>
      <c r="M52" s="11">
        <v>114.89</v>
      </c>
      <c r="N52" s="11">
        <v>121.62</v>
      </c>
      <c r="O52" s="11">
        <v>128.29</v>
      </c>
      <c r="P52" s="11">
        <v>135.55</v>
      </c>
      <c r="Q52" s="11">
        <v>143.51</v>
      </c>
      <c r="R52" s="11">
        <v>149.99</v>
      </c>
      <c r="S52" s="11">
        <v>156.87</v>
      </c>
      <c r="T52" s="11">
        <v>163.43</v>
      </c>
      <c r="U52" s="11">
        <v>170.2</v>
      </c>
      <c r="V52" s="11">
        <v>178.75</v>
      </c>
      <c r="W52" s="11">
        <v>188.1</v>
      </c>
      <c r="X52" s="11">
        <v>196.65</v>
      </c>
      <c r="Y52" s="11">
        <v>203.24</v>
      </c>
      <c r="Z52" s="11">
        <v>209.89</v>
      </c>
      <c r="AA52" s="11"/>
      <c r="AB52" s="11"/>
      <c r="AC52" s="11"/>
      <c r="AD52" s="11"/>
      <c r="AE52" s="11"/>
      <c r="AF52" s="11"/>
      <c r="AG52" s="12"/>
      <c r="AH52" s="13"/>
      <c r="AI52" s="17">
        <v>2100</v>
      </c>
      <c r="AJ52" s="11" t="str">
        <f>ROUND(52.66*(1+AD6)*(1+AD5)+AD7,2)</f>
        <v>0</v>
      </c>
      <c r="AK52" s="11" t="str">
        <f>ROUND(59.15*(1+AD6)*(1+AD5)+AD7,2)</f>
        <v>0</v>
      </c>
      <c r="AL52" s="11" t="str">
        <f>ROUND(65.62*(1+AD6)*(1+AD5)+AD7,2)</f>
        <v>0</v>
      </c>
      <c r="AM52" s="11" t="str">
        <f>ROUND(72.13*(1+AD6)*(1+AD5)+AD7,2)</f>
        <v>0</v>
      </c>
      <c r="AN52" s="11" t="str">
        <f>ROUND(79.44*(1+AD6)*(1+AD5)+AD7,2)</f>
        <v>0</v>
      </c>
      <c r="AO52" s="11" t="str">
        <f>ROUND(86.75*(1+AD6)*(1+AD5)+AD7,2)</f>
        <v>0</v>
      </c>
      <c r="AP52" s="11" t="str">
        <f>ROUND(94.14*(1+AD6)*(1+AD5)+AD7,2)</f>
        <v>0</v>
      </c>
      <c r="AQ52" s="11" t="str">
        <f>ROUND(100.93*(1+AD6)*(1+AD5)+AD7,2)</f>
        <v>0</v>
      </c>
      <c r="AR52" s="11" t="str">
        <f>ROUND(108.19*(1+AD6)*(1+AD5)+AD7,2)</f>
        <v>0</v>
      </c>
      <c r="AS52" s="11" t="str">
        <f>ROUND(114.89*(1+AD6)*(1+AD5)+AD7,2)</f>
        <v>0</v>
      </c>
      <c r="AT52" s="11" t="str">
        <f>ROUND(121.62*(1+AD6)*(1+AD5)+AD7,2)</f>
        <v>0</v>
      </c>
      <c r="AU52" s="11" t="str">
        <f>ROUND(128.29*(1+AD6)*(1+AD5)+AD7,2)</f>
        <v>0</v>
      </c>
      <c r="AV52" s="11" t="str">
        <f>ROUND(135.55*(1+AD6)*(1+AD5)+AD7,2)</f>
        <v>0</v>
      </c>
      <c r="AW52" s="11" t="str">
        <f>ROUND(143.51*(1+AD6)*(1+AD5)+AD7,2)</f>
        <v>0</v>
      </c>
      <c r="AX52" s="11" t="str">
        <f>ROUND(149.99*(1+AD6)*(1+AD5)+AD7,2)</f>
        <v>0</v>
      </c>
      <c r="AY52" s="11" t="str">
        <f>ROUND(156.87*(1+AD6)*(1+AD5)+AD7,2)</f>
        <v>0</v>
      </c>
      <c r="AZ52" s="11" t="str">
        <f>ROUND(163.43*(1+AD6)*(1+AD5)+AD7,2)</f>
        <v>0</v>
      </c>
      <c r="BA52" s="11" t="str">
        <f>ROUND(170.2*(1+AD6)*(1+AD5)+AD7,2)</f>
        <v>0</v>
      </c>
      <c r="BB52" s="11" t="str">
        <f>ROUND(178.75*(1+AD6)*(1+AD5)+AD7,2)</f>
        <v>0</v>
      </c>
      <c r="BC52" s="11" t="str">
        <f>ROUND(188.1*(1+AD6)*(1+AD5)+AD7,2)</f>
        <v>0</v>
      </c>
      <c r="BD52" s="11" t="str">
        <f>ROUND(196.65*(1+AD6)*(1+AD5)+AD7,2)</f>
        <v>0</v>
      </c>
      <c r="BE52" t="str">
        <f>ROUND(203.24*(1+AD6)*(1+AD5)+AD7,2)</f>
        <v>0</v>
      </c>
      <c r="BF52" t="str">
        <f>ROUND(209.89*(1+AD6)*(1+AD5)+AD7,2)</f>
        <v>0</v>
      </c>
    </row>
    <row r="53" spans="1:58">
      <c r="A53" s="11"/>
      <c r="B53" s="13"/>
      <c r="C53" s="17">
        <v>2200</v>
      </c>
      <c r="D53" s="11">
        <v>53.06</v>
      </c>
      <c r="E53" s="11">
        <v>59.68</v>
      </c>
      <c r="F53" s="11">
        <v>66.27</v>
      </c>
      <c r="G53" s="11">
        <v>72.92</v>
      </c>
      <c r="H53" s="11">
        <v>80.33</v>
      </c>
      <c r="I53" s="11">
        <v>87.78</v>
      </c>
      <c r="J53" s="11">
        <v>95.39</v>
      </c>
      <c r="K53" s="11">
        <v>102.13</v>
      </c>
      <c r="L53" s="11">
        <v>109.55</v>
      </c>
      <c r="M53" s="11">
        <v>116.38</v>
      </c>
      <c r="N53" s="11">
        <v>123.21</v>
      </c>
      <c r="O53" s="11">
        <v>129.97</v>
      </c>
      <c r="P53" s="11">
        <v>137.38</v>
      </c>
      <c r="Q53" s="11">
        <v>145.44</v>
      </c>
      <c r="R53" s="11">
        <v>152.04</v>
      </c>
      <c r="S53" s="11">
        <v>159.07</v>
      </c>
      <c r="T53" s="11">
        <v>165.71</v>
      </c>
      <c r="U53" s="11">
        <v>172.63</v>
      </c>
      <c r="V53" s="11">
        <v>181.3</v>
      </c>
      <c r="W53" s="11">
        <v>190.77</v>
      </c>
      <c r="X53" s="11">
        <v>199.43</v>
      </c>
      <c r="Y53" s="11">
        <v>206.12</v>
      </c>
      <c r="Z53" s="11">
        <v>212.86</v>
      </c>
      <c r="AA53" s="11"/>
      <c r="AB53" s="11"/>
      <c r="AC53" s="11"/>
      <c r="AD53" s="11"/>
      <c r="AE53" s="11"/>
      <c r="AF53" s="11"/>
      <c r="AG53" s="12"/>
      <c r="AH53" s="13"/>
      <c r="AI53" s="17">
        <v>2200</v>
      </c>
      <c r="AJ53" s="11" t="str">
        <f>ROUND(53.06*(1+AD6)*(1+AD5)+AD7,2)</f>
        <v>0</v>
      </c>
      <c r="AK53" s="11" t="str">
        <f>ROUND(59.68*(1+AD6)*(1+AD5)+AD7,2)</f>
        <v>0</v>
      </c>
      <c r="AL53" s="11" t="str">
        <f>ROUND(66.27*(1+AD6)*(1+AD5)+AD7,2)</f>
        <v>0</v>
      </c>
      <c r="AM53" s="11" t="str">
        <f>ROUND(72.92*(1+AD6)*(1+AD5)+AD7,2)</f>
        <v>0</v>
      </c>
      <c r="AN53" s="11" t="str">
        <f>ROUND(80.33*(1+AD6)*(1+AD5)+AD7,2)</f>
        <v>0</v>
      </c>
      <c r="AO53" s="11" t="str">
        <f>ROUND(87.78*(1+AD6)*(1+AD5)+AD7,2)</f>
        <v>0</v>
      </c>
      <c r="AP53" s="11" t="str">
        <f>ROUND(95.39*(1+AD6)*(1+AD5)+AD7,2)</f>
        <v>0</v>
      </c>
      <c r="AQ53" s="11" t="str">
        <f>ROUND(102.13*(1+AD6)*(1+AD5)+AD7,2)</f>
        <v>0</v>
      </c>
      <c r="AR53" s="11" t="str">
        <f>ROUND(109.55*(1+AD6)*(1+AD5)+AD7,2)</f>
        <v>0</v>
      </c>
      <c r="AS53" s="11" t="str">
        <f>ROUND(116.38*(1+AD6)*(1+AD5)+AD7,2)</f>
        <v>0</v>
      </c>
      <c r="AT53" s="11" t="str">
        <f>ROUND(123.21*(1+AD6)*(1+AD5)+AD7,2)</f>
        <v>0</v>
      </c>
      <c r="AU53" s="11" t="str">
        <f>ROUND(129.97*(1+AD6)*(1+AD5)+AD7,2)</f>
        <v>0</v>
      </c>
      <c r="AV53" s="11" t="str">
        <f>ROUND(137.38*(1+AD6)*(1+AD5)+AD7,2)</f>
        <v>0</v>
      </c>
      <c r="AW53" s="11" t="str">
        <f>ROUND(145.44*(1+AD6)*(1+AD5)+AD7,2)</f>
        <v>0</v>
      </c>
      <c r="AX53" s="11" t="str">
        <f>ROUND(152.04*(1+AD6)*(1+AD5)+AD7,2)</f>
        <v>0</v>
      </c>
      <c r="AY53" s="11" t="str">
        <f>ROUND(159.07*(1+AD6)*(1+AD5)+AD7,2)</f>
        <v>0</v>
      </c>
      <c r="AZ53" s="11" t="str">
        <f>ROUND(165.71*(1+AD6)*(1+AD5)+AD7,2)</f>
        <v>0</v>
      </c>
      <c r="BA53" s="11" t="str">
        <f>ROUND(172.63*(1+AD6)*(1+AD5)+AD7,2)</f>
        <v>0</v>
      </c>
      <c r="BB53" s="11" t="str">
        <f>ROUND(181.3*(1+AD6)*(1+AD5)+AD7,2)</f>
        <v>0</v>
      </c>
      <c r="BC53" s="11" t="str">
        <f>ROUND(190.77*(1+AD6)*(1+AD5)+AD7,2)</f>
        <v>0</v>
      </c>
      <c r="BD53" s="11" t="str">
        <f>ROUND(199.43*(1+AD6)*(1+AD5)+AD7,2)</f>
        <v>0</v>
      </c>
      <c r="BE53" t="str">
        <f>ROUND(206.12*(1+AD6)*(1+AD5)+AD7,2)</f>
        <v>0</v>
      </c>
      <c r="BF53" t="str">
        <f>ROUND(212.86*(1+AD6)*(1+AD5)+AD7,2)</f>
        <v>0</v>
      </c>
    </row>
    <row r="54" spans="1:58">
      <c r="A54" s="11"/>
      <c r="B54" s="13"/>
      <c r="C54" s="17">
        <v>2300</v>
      </c>
      <c r="D54" s="11">
        <v>53.48</v>
      </c>
      <c r="E54" s="11">
        <v>60.23</v>
      </c>
      <c r="F54" s="11">
        <v>66.9</v>
      </c>
      <c r="G54" s="11">
        <v>73.68</v>
      </c>
      <c r="H54" s="11">
        <v>81.22</v>
      </c>
      <c r="I54" s="11">
        <v>88.77</v>
      </c>
      <c r="J54" s="11">
        <v>96.41</v>
      </c>
      <c r="K54" s="11">
        <v>103.4</v>
      </c>
      <c r="L54" s="11">
        <v>110.9</v>
      </c>
      <c r="M54" s="11">
        <v>117.87</v>
      </c>
      <c r="N54" s="11">
        <v>123.54</v>
      </c>
      <c r="O54" s="11">
        <v>131.73</v>
      </c>
      <c r="P54" s="11">
        <v>139.22</v>
      </c>
      <c r="Q54" s="11">
        <v>147.4</v>
      </c>
      <c r="R54" s="11">
        <v>154.12</v>
      </c>
      <c r="S54" s="11">
        <v>161.25</v>
      </c>
      <c r="T54" s="11">
        <v>168.04</v>
      </c>
      <c r="U54" s="11">
        <v>175.04</v>
      </c>
      <c r="V54" s="11">
        <v>183.86</v>
      </c>
      <c r="W54" s="11">
        <v>193.43</v>
      </c>
      <c r="X54" s="11">
        <v>202.22</v>
      </c>
      <c r="Y54" s="11">
        <v>209</v>
      </c>
      <c r="Z54" s="11">
        <v>215.81</v>
      </c>
      <c r="AA54" s="11"/>
      <c r="AB54" s="11"/>
      <c r="AC54" s="11"/>
      <c r="AD54" s="11"/>
      <c r="AE54" s="11"/>
      <c r="AF54" s="11"/>
      <c r="AG54" s="12"/>
      <c r="AH54" s="13"/>
      <c r="AI54" s="17">
        <v>2300</v>
      </c>
      <c r="AJ54" s="11" t="str">
        <f>ROUND(53.48*(1+AD6)*(1+AD5)+AD7,2)</f>
        <v>0</v>
      </c>
      <c r="AK54" s="11" t="str">
        <f>ROUND(60.23*(1+AD6)*(1+AD5)+AD7,2)</f>
        <v>0</v>
      </c>
      <c r="AL54" s="11" t="str">
        <f>ROUND(66.9*(1+AD6)*(1+AD5)+AD7,2)</f>
        <v>0</v>
      </c>
      <c r="AM54" s="11" t="str">
        <f>ROUND(73.68*(1+AD6)*(1+AD5)+AD7,2)</f>
        <v>0</v>
      </c>
      <c r="AN54" s="11" t="str">
        <f>ROUND(81.22*(1+AD6)*(1+AD5)+AD7,2)</f>
        <v>0</v>
      </c>
      <c r="AO54" s="11" t="str">
        <f>ROUND(88.77*(1+AD6)*(1+AD5)+AD7,2)</f>
        <v>0</v>
      </c>
      <c r="AP54" s="11" t="str">
        <f>ROUND(96.41*(1+AD6)*(1+AD5)+AD7,2)</f>
        <v>0</v>
      </c>
      <c r="AQ54" s="11" t="str">
        <f>ROUND(103.4*(1+AD6)*(1+AD5)+AD7,2)</f>
        <v>0</v>
      </c>
      <c r="AR54" s="11" t="str">
        <f>ROUND(110.9*(1+AD6)*(1+AD5)+AD7,2)</f>
        <v>0</v>
      </c>
      <c r="AS54" s="11" t="str">
        <f>ROUND(117.87*(1+AD6)*(1+AD5)+AD7,2)</f>
        <v>0</v>
      </c>
      <c r="AT54" s="11" t="str">
        <f>ROUND(123.54*(1+AD6)*(1+AD5)+AD7,2)</f>
        <v>0</v>
      </c>
      <c r="AU54" s="11" t="str">
        <f>ROUND(131.73*(1+AD6)*(1+AD5)+AD7,2)</f>
        <v>0</v>
      </c>
      <c r="AV54" s="11" t="str">
        <f>ROUND(139.22*(1+AD6)*(1+AD5)+AD7,2)</f>
        <v>0</v>
      </c>
      <c r="AW54" s="11" t="str">
        <f>ROUND(147.4*(1+AD6)*(1+AD5)+AD7,2)</f>
        <v>0</v>
      </c>
      <c r="AX54" s="11" t="str">
        <f>ROUND(154.12*(1+AD6)*(1+AD5)+AD7,2)</f>
        <v>0</v>
      </c>
      <c r="AY54" s="11" t="str">
        <f>ROUND(161.25*(1+AD6)*(1+AD5)+AD7,2)</f>
        <v>0</v>
      </c>
      <c r="AZ54" s="11" t="str">
        <f>ROUND(168.04*(1+AD6)*(1+AD5)+AD7,2)</f>
        <v>0</v>
      </c>
      <c r="BA54" s="11" t="str">
        <f>ROUND(175.04*(1+AD6)*(1+AD5)+AD7,2)</f>
        <v>0</v>
      </c>
      <c r="BB54" s="11" t="str">
        <f>ROUND(183.86*(1+AD6)*(1+AD5)+AD7,2)</f>
        <v>0</v>
      </c>
      <c r="BC54" s="11" t="str">
        <f>ROUND(193.43*(1+AD6)*(1+AD5)+AD7,2)</f>
        <v>0</v>
      </c>
      <c r="BD54" s="11" t="str">
        <f>ROUND(202.22*(1+AD6)*(1+AD5)+AD7,2)</f>
        <v>0</v>
      </c>
      <c r="BE54" t="str">
        <f>ROUND(209*(1+AD6)*(1+AD5)+AD7,2)</f>
        <v>0</v>
      </c>
      <c r="BF54" t="str">
        <f>ROUND(215.81*(1+AD6)*(1+AD5)+AD7,2)</f>
        <v>0</v>
      </c>
    </row>
    <row r="55" spans="1:58">
      <c r="A55" s="11"/>
      <c r="B55" s="13"/>
      <c r="C55" s="17">
        <v>2400</v>
      </c>
      <c r="D55" s="11">
        <v>53.91</v>
      </c>
      <c r="E55" s="11">
        <v>60.75</v>
      </c>
      <c r="F55" s="11">
        <v>67.55</v>
      </c>
      <c r="G55" s="11">
        <v>74.46</v>
      </c>
      <c r="H55" s="11">
        <v>82.1</v>
      </c>
      <c r="I55" s="11">
        <v>89.75</v>
      </c>
      <c r="J55" s="11">
        <v>97.51</v>
      </c>
      <c r="K55" s="11">
        <v>104.64</v>
      </c>
      <c r="L55" s="11">
        <v>112.26</v>
      </c>
      <c r="M55" s="11">
        <v>119.33</v>
      </c>
      <c r="N55" s="11">
        <v>126.42</v>
      </c>
      <c r="O55" s="11">
        <v>133.44</v>
      </c>
      <c r="P55" s="11">
        <v>141.04</v>
      </c>
      <c r="Q55" s="11">
        <v>149.37</v>
      </c>
      <c r="R55" s="11">
        <v>156.19</v>
      </c>
      <c r="S55" s="11">
        <v>163.44</v>
      </c>
      <c r="T55" s="11">
        <v>170.33</v>
      </c>
      <c r="U55" s="11">
        <v>177.48</v>
      </c>
      <c r="V55" s="11">
        <v>186.41</v>
      </c>
      <c r="W55" s="11">
        <v>196.07</v>
      </c>
      <c r="X55" s="11">
        <v>204.98</v>
      </c>
      <c r="Y55" s="11">
        <v>211.93</v>
      </c>
      <c r="Z55" s="11">
        <v>218.82</v>
      </c>
      <c r="AA55" s="11"/>
      <c r="AB55" s="11"/>
      <c r="AC55" s="11"/>
      <c r="AD55" s="11"/>
      <c r="AE55" s="11"/>
      <c r="AF55" s="11"/>
      <c r="AG55" s="12"/>
      <c r="AH55" s="13"/>
      <c r="AI55" s="17">
        <v>2400</v>
      </c>
      <c r="AJ55" s="11" t="str">
        <f>ROUND(53.91*(1+AD6)*(1+AD5)+AD7,2)</f>
        <v>0</v>
      </c>
      <c r="AK55" s="11" t="str">
        <f>ROUND(60.75*(1+AD6)*(1+AD5)+AD7,2)</f>
        <v>0</v>
      </c>
      <c r="AL55" s="11" t="str">
        <f>ROUND(67.55*(1+AD6)*(1+AD5)+AD7,2)</f>
        <v>0</v>
      </c>
      <c r="AM55" s="11" t="str">
        <f>ROUND(74.46*(1+AD6)*(1+AD5)+AD7,2)</f>
        <v>0</v>
      </c>
      <c r="AN55" s="11" t="str">
        <f>ROUND(82.1*(1+AD6)*(1+AD5)+AD7,2)</f>
        <v>0</v>
      </c>
      <c r="AO55" s="11" t="str">
        <f>ROUND(89.75*(1+AD6)*(1+AD5)+AD7,2)</f>
        <v>0</v>
      </c>
      <c r="AP55" s="11" t="str">
        <f>ROUND(97.51*(1+AD6)*(1+AD5)+AD7,2)</f>
        <v>0</v>
      </c>
      <c r="AQ55" s="11" t="str">
        <f>ROUND(104.64*(1+AD6)*(1+AD5)+AD7,2)</f>
        <v>0</v>
      </c>
      <c r="AR55" s="11" t="str">
        <f>ROUND(112.26*(1+AD6)*(1+AD5)+AD7,2)</f>
        <v>0</v>
      </c>
      <c r="AS55" s="11" t="str">
        <f>ROUND(119.33*(1+AD6)*(1+AD5)+AD7,2)</f>
        <v>0</v>
      </c>
      <c r="AT55" s="11" t="str">
        <f>ROUND(126.42*(1+AD6)*(1+AD5)+AD7,2)</f>
        <v>0</v>
      </c>
      <c r="AU55" s="11" t="str">
        <f>ROUND(133.44*(1+AD6)*(1+AD5)+AD7,2)</f>
        <v>0</v>
      </c>
      <c r="AV55" s="11" t="str">
        <f>ROUND(141.04*(1+AD6)*(1+AD5)+AD7,2)</f>
        <v>0</v>
      </c>
      <c r="AW55" s="11" t="str">
        <f>ROUND(149.37*(1+AD6)*(1+AD5)+AD7,2)</f>
        <v>0</v>
      </c>
      <c r="AX55" s="11" t="str">
        <f>ROUND(156.19*(1+AD6)*(1+AD5)+AD7,2)</f>
        <v>0</v>
      </c>
      <c r="AY55" s="11" t="str">
        <f>ROUND(163.44*(1+AD6)*(1+AD5)+AD7,2)</f>
        <v>0</v>
      </c>
      <c r="AZ55" s="11" t="str">
        <f>ROUND(170.33*(1+AD6)*(1+AD5)+AD7,2)</f>
        <v>0</v>
      </c>
      <c r="BA55" s="11" t="str">
        <f>ROUND(177.48*(1+AD6)*(1+AD5)+AD7,2)</f>
        <v>0</v>
      </c>
      <c r="BB55" s="11" t="str">
        <f>ROUND(186.41*(1+AD6)*(1+AD5)+AD7,2)</f>
        <v>0</v>
      </c>
      <c r="BC55" s="11" t="str">
        <f>ROUND(196.07*(1+AD6)*(1+AD5)+AD7,2)</f>
        <v>0</v>
      </c>
      <c r="BD55" s="11" t="str">
        <f>ROUND(204.98*(1+AD6)*(1+AD5)+AD7,2)</f>
        <v>0</v>
      </c>
      <c r="BE55" t="str">
        <f>ROUND(211.93*(1+AD6)*(1+AD5)+AD7,2)</f>
        <v>0</v>
      </c>
      <c r="BF55" t="str">
        <f>ROUND(218.82*(1+AD6)*(1+AD5)+AD7,2)</f>
        <v>0</v>
      </c>
    </row>
    <row r="56" spans="1:58">
      <c r="A56" s="11"/>
      <c r="B56" s="13"/>
      <c r="C56" s="17">
        <v>2500</v>
      </c>
      <c r="D56" s="11">
        <v>55.29</v>
      </c>
      <c r="E56" s="11">
        <v>62.32</v>
      </c>
      <c r="F56" s="11">
        <v>69.32</v>
      </c>
      <c r="G56" s="11">
        <v>76.42</v>
      </c>
      <c r="H56" s="11">
        <v>84.26</v>
      </c>
      <c r="I56" s="11">
        <v>92.11</v>
      </c>
      <c r="J56" s="11">
        <v>100.04</v>
      </c>
      <c r="K56" s="11">
        <v>107.36</v>
      </c>
      <c r="L56" s="11">
        <v>115.2</v>
      </c>
      <c r="M56" s="11">
        <v>122.45</v>
      </c>
      <c r="N56" s="11">
        <v>129.73</v>
      </c>
      <c r="O56" s="11">
        <v>136.95</v>
      </c>
      <c r="P56" s="11">
        <v>144.74</v>
      </c>
      <c r="Q56" s="11">
        <v>153.29</v>
      </c>
      <c r="R56" s="11">
        <v>160.31</v>
      </c>
      <c r="S56" s="11">
        <v>167.74</v>
      </c>
      <c r="T56" s="11">
        <v>174.84</v>
      </c>
      <c r="U56" s="11">
        <v>182.18</v>
      </c>
      <c r="V56" s="11">
        <v>191.31</v>
      </c>
      <c r="W56" s="11">
        <v>201.17</v>
      </c>
      <c r="X56" s="11">
        <v>210.28</v>
      </c>
      <c r="Y56" s="11">
        <v>217.4</v>
      </c>
      <c r="Z56" s="11">
        <v>224.45</v>
      </c>
      <c r="AA56" s="11"/>
      <c r="AB56" s="11"/>
      <c r="AC56" s="11"/>
      <c r="AD56" s="11"/>
      <c r="AE56" s="11"/>
      <c r="AF56" s="11"/>
      <c r="AG56" s="12"/>
      <c r="AH56" s="13"/>
      <c r="AI56" s="17">
        <v>2500</v>
      </c>
      <c r="AJ56" s="11" t="str">
        <f>ROUND(55.29*(1+AD6)*(1+AD5)+AD7,2)</f>
        <v>0</v>
      </c>
      <c r="AK56" s="11" t="str">
        <f>ROUND(62.32*(1+AD6)*(1+AD5)+AD7,2)</f>
        <v>0</v>
      </c>
      <c r="AL56" s="11" t="str">
        <f>ROUND(69.32*(1+AD6)*(1+AD5)+AD7,2)</f>
        <v>0</v>
      </c>
      <c r="AM56" s="11" t="str">
        <f>ROUND(76.42*(1+AD6)*(1+AD5)+AD7,2)</f>
        <v>0</v>
      </c>
      <c r="AN56" s="11" t="str">
        <f>ROUND(84.26*(1+AD6)*(1+AD5)+AD7,2)</f>
        <v>0</v>
      </c>
      <c r="AO56" s="11" t="str">
        <f>ROUND(92.11*(1+AD6)*(1+AD5)+AD7,2)</f>
        <v>0</v>
      </c>
      <c r="AP56" s="11" t="str">
        <f>ROUND(100.04*(1+AD6)*(1+AD5)+AD7,2)</f>
        <v>0</v>
      </c>
      <c r="AQ56" s="11" t="str">
        <f>ROUND(107.36*(1+AD6)*(1+AD5)+AD7,2)</f>
        <v>0</v>
      </c>
      <c r="AR56" s="11" t="str">
        <f>ROUND(115.2*(1+AD6)*(1+AD5)+AD7,2)</f>
        <v>0</v>
      </c>
      <c r="AS56" s="11" t="str">
        <f>ROUND(122.45*(1+AD6)*(1+AD5)+AD7,2)</f>
        <v>0</v>
      </c>
      <c r="AT56" s="11" t="str">
        <f>ROUND(129.73*(1+AD6)*(1+AD5)+AD7,2)</f>
        <v>0</v>
      </c>
      <c r="AU56" s="11" t="str">
        <f>ROUND(136.95*(1+AD6)*(1+AD5)+AD7,2)</f>
        <v>0</v>
      </c>
      <c r="AV56" s="11" t="str">
        <f>ROUND(144.74*(1+AD6)*(1+AD5)+AD7,2)</f>
        <v>0</v>
      </c>
      <c r="AW56" s="11" t="str">
        <f>ROUND(153.29*(1+AD6)*(1+AD5)+AD7,2)</f>
        <v>0</v>
      </c>
      <c r="AX56" s="11" t="str">
        <f>ROUND(160.31*(1+AD6)*(1+AD5)+AD7,2)</f>
        <v>0</v>
      </c>
      <c r="AY56" s="11" t="str">
        <f>ROUND(167.74*(1+AD6)*(1+AD5)+AD7,2)</f>
        <v>0</v>
      </c>
      <c r="AZ56" s="11" t="str">
        <f>ROUND(174.84*(1+AD6)*(1+AD5)+AD7,2)</f>
        <v>0</v>
      </c>
      <c r="BA56" s="11" t="str">
        <f>ROUND(182.18*(1+AD6)*(1+AD5)+AD7,2)</f>
        <v>0</v>
      </c>
      <c r="BB56" s="11" t="str">
        <f>ROUND(191.31*(1+AD6)*(1+AD5)+AD7,2)</f>
        <v>0</v>
      </c>
      <c r="BC56" s="11" t="str">
        <f>ROUND(201.17*(1+AD6)*(1+AD5)+AD7,2)</f>
        <v>0</v>
      </c>
      <c r="BD56" s="11" t="str">
        <f>ROUND(210.28*(1+AD6)*(1+AD5)+AD7,2)</f>
        <v>0</v>
      </c>
      <c r="BE56" t="str">
        <f>ROUND(217.4*(1+AD6)*(1+AD5)+AD7,2)</f>
        <v>0</v>
      </c>
      <c r="BF56" t="str">
        <f>ROUND(224.45*(1+AD6)*(1+AD5)+AD7,2)</f>
        <v>0</v>
      </c>
    </row>
    <row r="57" spans="1:58">
      <c r="A57" s="11"/>
      <c r="B57" s="13"/>
      <c r="C57" s="17">
        <v>2600</v>
      </c>
      <c r="D57" s="11">
        <v>58.05</v>
      </c>
      <c r="E57" s="11">
        <v>65.43</v>
      </c>
      <c r="F57" s="11">
        <v>72.79</v>
      </c>
      <c r="G57" s="11">
        <v>80.24</v>
      </c>
      <c r="H57" s="11">
        <v>88.47</v>
      </c>
      <c r="I57" s="11">
        <v>96.71</v>
      </c>
      <c r="J57" s="11">
        <v>105.05</v>
      </c>
      <c r="K57" s="11">
        <v>112.73</v>
      </c>
      <c r="L57" s="11">
        <v>120.96</v>
      </c>
      <c r="M57" s="11">
        <v>128.57</v>
      </c>
      <c r="N57" s="11">
        <v>136.21</v>
      </c>
      <c r="O57" s="11">
        <v>143.79</v>
      </c>
      <c r="P57" s="11">
        <v>151.98</v>
      </c>
      <c r="Q57" s="11">
        <v>160.95</v>
      </c>
      <c r="R57" s="11">
        <v>168.32</v>
      </c>
      <c r="S57" s="11">
        <v>176.12</v>
      </c>
      <c r="T57" s="11">
        <v>183.58</v>
      </c>
      <c r="U57" s="11">
        <v>191.28</v>
      </c>
      <c r="V57" s="11">
        <v>200.88</v>
      </c>
      <c r="W57" s="11">
        <v>211.22</v>
      </c>
      <c r="X57" s="11">
        <v>220.79</v>
      </c>
      <c r="Y57" s="11">
        <v>228.27</v>
      </c>
      <c r="Z57" s="11">
        <v>235.68</v>
      </c>
      <c r="AA57" s="11"/>
      <c r="AB57" s="11"/>
      <c r="AC57" s="11"/>
      <c r="AD57" s="11"/>
      <c r="AE57" s="11"/>
      <c r="AF57" s="11"/>
      <c r="AG57" s="12"/>
      <c r="AH57" s="13"/>
      <c r="AI57" s="17">
        <v>2600</v>
      </c>
      <c r="AJ57" s="11" t="str">
        <f>ROUND(58.05*(1+AD6)*(1+AD5)+AD7,2)</f>
        <v>0</v>
      </c>
      <c r="AK57" s="11" t="str">
        <f>ROUND(65.43*(1+AD6)*(1+AD5)+AD7,2)</f>
        <v>0</v>
      </c>
      <c r="AL57" s="11" t="str">
        <f>ROUND(72.79*(1+AD6)*(1+AD5)+AD7,2)</f>
        <v>0</v>
      </c>
      <c r="AM57" s="11" t="str">
        <f>ROUND(80.24*(1+AD6)*(1+AD5)+AD7,2)</f>
        <v>0</v>
      </c>
      <c r="AN57" s="11" t="str">
        <f>ROUND(88.47*(1+AD6)*(1+AD5)+AD7,2)</f>
        <v>0</v>
      </c>
      <c r="AO57" s="11" t="str">
        <f>ROUND(96.71*(1+AD6)*(1+AD5)+AD7,2)</f>
        <v>0</v>
      </c>
      <c r="AP57" s="11" t="str">
        <f>ROUND(105.05*(1+AD6)*(1+AD5)+AD7,2)</f>
        <v>0</v>
      </c>
      <c r="AQ57" s="11" t="str">
        <f>ROUND(112.73*(1+AD6)*(1+AD5)+AD7,2)</f>
        <v>0</v>
      </c>
      <c r="AR57" s="11" t="str">
        <f>ROUND(120.96*(1+AD6)*(1+AD5)+AD7,2)</f>
        <v>0</v>
      </c>
      <c r="AS57" s="11" t="str">
        <f>ROUND(128.57*(1+AD6)*(1+AD5)+AD7,2)</f>
        <v>0</v>
      </c>
      <c r="AT57" s="11" t="str">
        <f>ROUND(136.21*(1+AD6)*(1+AD5)+AD7,2)</f>
        <v>0</v>
      </c>
      <c r="AU57" s="11" t="str">
        <f>ROUND(143.79*(1+AD6)*(1+AD5)+AD7,2)</f>
        <v>0</v>
      </c>
      <c r="AV57" s="11" t="str">
        <f>ROUND(151.98*(1+AD6)*(1+AD5)+AD7,2)</f>
        <v>0</v>
      </c>
      <c r="AW57" s="11" t="str">
        <f>ROUND(160.95*(1+AD6)*(1+AD5)+AD7,2)</f>
        <v>0</v>
      </c>
      <c r="AX57" s="11" t="str">
        <f>ROUND(168.32*(1+AD6)*(1+AD5)+AD7,2)</f>
        <v>0</v>
      </c>
      <c r="AY57" s="11" t="str">
        <f>ROUND(176.12*(1+AD6)*(1+AD5)+AD7,2)</f>
        <v>0</v>
      </c>
      <c r="AZ57" s="11" t="str">
        <f>ROUND(183.58*(1+AD6)*(1+AD5)+AD7,2)</f>
        <v>0</v>
      </c>
      <c r="BA57" s="11" t="str">
        <f>ROUND(191.28*(1+AD6)*(1+AD5)+AD7,2)</f>
        <v>0</v>
      </c>
      <c r="BB57" s="11" t="str">
        <f>ROUND(200.88*(1+AD6)*(1+AD5)+AD7,2)</f>
        <v>0</v>
      </c>
      <c r="BC57" s="11" t="str">
        <f>ROUND(211.22*(1+AD6)*(1+AD5)+AD7,2)</f>
        <v>0</v>
      </c>
      <c r="BD57" s="11" t="str">
        <f>ROUND(220.79*(1+AD6)*(1+AD5)+AD7,2)</f>
        <v>0</v>
      </c>
      <c r="BE57" t="str">
        <f>ROUND(228.27*(1+AD6)*(1+AD5)+AD7,2)</f>
        <v>0</v>
      </c>
      <c r="BF57" t="str">
        <f>ROUND(235.68*(1+AD6)*(1+AD5)+AD7,2)</f>
        <v>0</v>
      </c>
    </row>
    <row r="58" spans="1:58">
      <c r="A58" s="11"/>
      <c r="B58" s="13"/>
      <c r="C58" s="17">
        <v>2700</v>
      </c>
      <c r="D58" s="11">
        <v>60.96</v>
      </c>
      <c r="E58" s="11">
        <v>68.7</v>
      </c>
      <c r="F58" s="11">
        <v>76.43</v>
      </c>
      <c r="G58" s="11">
        <v>84.25</v>
      </c>
      <c r="H58" s="11">
        <v>92.9</v>
      </c>
      <c r="I58" s="11">
        <v>101.55</v>
      </c>
      <c r="J58" s="11">
        <v>110.3</v>
      </c>
      <c r="K58" s="11">
        <v>118.37</v>
      </c>
      <c r="L58" s="11">
        <v>127</v>
      </c>
      <c r="M58" s="11">
        <v>135</v>
      </c>
      <c r="N58" s="11">
        <v>143.03</v>
      </c>
      <c r="O58" s="11">
        <v>150.98</v>
      </c>
      <c r="P58" s="11">
        <v>159.58</v>
      </c>
      <c r="Q58" s="11">
        <v>169</v>
      </c>
      <c r="R58" s="11">
        <v>176.74</v>
      </c>
      <c r="S58" s="11">
        <v>184.93</v>
      </c>
      <c r="T58" s="11">
        <v>192.76</v>
      </c>
      <c r="U58" s="11">
        <v>200.84</v>
      </c>
      <c r="V58" s="11">
        <v>210.92</v>
      </c>
      <c r="W58" s="11">
        <v>221.79</v>
      </c>
      <c r="X58" s="11">
        <v>231.83</v>
      </c>
      <c r="Y58" s="11">
        <v>239.68</v>
      </c>
      <c r="Z58" s="11">
        <v>247.46</v>
      </c>
      <c r="AA58" s="11"/>
      <c r="AB58" s="11"/>
      <c r="AC58" s="11"/>
      <c r="AD58" s="11"/>
      <c r="AE58" s="11"/>
      <c r="AF58" s="11"/>
      <c r="AG58" s="12"/>
      <c r="AH58" s="13"/>
      <c r="AI58" s="17">
        <v>2700</v>
      </c>
      <c r="AJ58" s="11" t="str">
        <f>ROUND(60.96*(1+AD6)*(1+AD5)+AD7,2)</f>
        <v>0</v>
      </c>
      <c r="AK58" s="11" t="str">
        <f>ROUND(68.7*(1+AD6)*(1+AD5)+AD7,2)</f>
        <v>0</v>
      </c>
      <c r="AL58" s="11" t="str">
        <f>ROUND(76.43*(1+AD6)*(1+AD5)+AD7,2)</f>
        <v>0</v>
      </c>
      <c r="AM58" s="11" t="str">
        <f>ROUND(84.25*(1+AD6)*(1+AD5)+AD7,2)</f>
        <v>0</v>
      </c>
      <c r="AN58" s="11" t="str">
        <f>ROUND(92.9*(1+AD6)*(1+AD5)+AD7,2)</f>
        <v>0</v>
      </c>
      <c r="AO58" s="11" t="str">
        <f>ROUND(101.55*(1+AD6)*(1+AD5)+AD7,2)</f>
        <v>0</v>
      </c>
      <c r="AP58" s="11" t="str">
        <f>ROUND(110.3*(1+AD6)*(1+AD5)+AD7,2)</f>
        <v>0</v>
      </c>
      <c r="AQ58" s="11" t="str">
        <f>ROUND(118.37*(1+AD6)*(1+AD5)+AD7,2)</f>
        <v>0</v>
      </c>
      <c r="AR58" s="11" t="str">
        <f>ROUND(127*(1+AD6)*(1+AD5)+AD7,2)</f>
        <v>0</v>
      </c>
      <c r="AS58" s="11" t="str">
        <f>ROUND(135*(1+AD6)*(1+AD5)+AD7,2)</f>
        <v>0</v>
      </c>
      <c r="AT58" s="11" t="str">
        <f>ROUND(143.03*(1+AD6)*(1+AD5)+AD7,2)</f>
        <v>0</v>
      </c>
      <c r="AU58" s="11" t="str">
        <f>ROUND(150.98*(1+AD6)*(1+AD5)+AD7,2)</f>
        <v>0</v>
      </c>
      <c r="AV58" s="11" t="str">
        <f>ROUND(159.58*(1+AD6)*(1+AD5)+AD7,2)</f>
        <v>0</v>
      </c>
      <c r="AW58" s="11" t="str">
        <f>ROUND(169*(1+AD6)*(1+AD5)+AD7,2)</f>
        <v>0</v>
      </c>
      <c r="AX58" s="11" t="str">
        <f>ROUND(176.74*(1+AD6)*(1+AD5)+AD7,2)</f>
        <v>0</v>
      </c>
      <c r="AY58" s="11" t="str">
        <f>ROUND(184.93*(1+AD6)*(1+AD5)+AD7,2)</f>
        <v>0</v>
      </c>
      <c r="AZ58" s="11" t="str">
        <f>ROUND(192.76*(1+AD6)*(1+AD5)+AD7,2)</f>
        <v>0</v>
      </c>
      <c r="BA58" s="11" t="str">
        <f>ROUND(200.84*(1+AD6)*(1+AD5)+AD7,2)</f>
        <v>0</v>
      </c>
      <c r="BB58" s="11" t="str">
        <f>ROUND(210.92*(1+AD6)*(1+AD5)+AD7,2)</f>
        <v>0</v>
      </c>
      <c r="BC58" s="11" t="str">
        <f>ROUND(221.79*(1+AD6)*(1+AD5)+AD7,2)</f>
        <v>0</v>
      </c>
      <c r="BD58" s="11" t="str">
        <f>ROUND(231.83*(1+AD6)*(1+AD5)+AD7,2)</f>
        <v>0</v>
      </c>
      <c r="BE58" t="str">
        <f>ROUND(239.68*(1+AD6)*(1+AD5)+AD7,2)</f>
        <v>0</v>
      </c>
      <c r="BF58" t="str">
        <f>ROUND(247.46*(1+AD6)*(1+AD5)+AD7,2)</f>
        <v>0</v>
      </c>
    </row>
    <row r="59" spans="1:58">
      <c r="A59" s="11"/>
      <c r="B59" s="13"/>
      <c r="C59" s="17">
        <v>2800</v>
      </c>
      <c r="D59" s="11">
        <v>64.01</v>
      </c>
      <c r="E59" s="11">
        <v>72.13</v>
      </c>
      <c r="F59" s="11">
        <v>80.25</v>
      </c>
      <c r="G59" s="11">
        <v>88.47</v>
      </c>
      <c r="H59" s="11">
        <v>97.55</v>
      </c>
      <c r="I59" s="11">
        <v>106.63</v>
      </c>
      <c r="J59" s="11">
        <v>115.81</v>
      </c>
      <c r="K59" s="11">
        <v>124.29</v>
      </c>
      <c r="L59" s="11">
        <v>133.35</v>
      </c>
      <c r="M59" s="11">
        <v>141.75</v>
      </c>
      <c r="N59" s="11">
        <v>150.18</v>
      </c>
      <c r="O59" s="11">
        <v>158.53</v>
      </c>
      <c r="P59" s="11">
        <v>167.56</v>
      </c>
      <c r="Q59" s="11">
        <v>177.45</v>
      </c>
      <c r="R59" s="11">
        <v>185.58</v>
      </c>
      <c r="S59" s="11">
        <v>194.18</v>
      </c>
      <c r="T59" s="11">
        <v>202.4</v>
      </c>
      <c r="U59" s="11">
        <v>210.89</v>
      </c>
      <c r="V59" s="11">
        <v>221.46</v>
      </c>
      <c r="W59" s="11">
        <v>232.88</v>
      </c>
      <c r="X59" s="11">
        <v>243.42</v>
      </c>
      <c r="Y59" s="11">
        <v>251.67</v>
      </c>
      <c r="Z59" s="11">
        <v>259.84</v>
      </c>
      <c r="AA59" s="11"/>
      <c r="AB59" s="11"/>
      <c r="AC59" s="11"/>
      <c r="AD59" s="11"/>
      <c r="AE59" s="11"/>
      <c r="AF59" s="11"/>
      <c r="AG59" s="12"/>
      <c r="AH59" s="13"/>
      <c r="AI59" s="17">
        <v>2800</v>
      </c>
      <c r="AJ59" s="11" t="str">
        <f>ROUND(64.01*(1+AD6)*(1+AD5)+AD7,2)</f>
        <v>0</v>
      </c>
      <c r="AK59" s="11" t="str">
        <f>ROUND(72.13*(1+AD6)*(1+AD5)+AD7,2)</f>
        <v>0</v>
      </c>
      <c r="AL59" s="11" t="str">
        <f>ROUND(80.25*(1+AD6)*(1+AD5)+AD7,2)</f>
        <v>0</v>
      </c>
      <c r="AM59" s="11" t="str">
        <f>ROUND(88.47*(1+AD6)*(1+AD5)+AD7,2)</f>
        <v>0</v>
      </c>
      <c r="AN59" s="11" t="str">
        <f>ROUND(97.55*(1+AD6)*(1+AD5)+AD7,2)</f>
        <v>0</v>
      </c>
      <c r="AO59" s="11" t="str">
        <f>ROUND(106.63*(1+AD6)*(1+AD5)+AD7,2)</f>
        <v>0</v>
      </c>
      <c r="AP59" s="11" t="str">
        <f>ROUND(115.81*(1+AD6)*(1+AD5)+AD7,2)</f>
        <v>0</v>
      </c>
      <c r="AQ59" s="11" t="str">
        <f>ROUND(124.29*(1+AD6)*(1+AD5)+AD7,2)</f>
        <v>0</v>
      </c>
      <c r="AR59" s="11" t="str">
        <f>ROUND(133.35*(1+AD6)*(1+AD5)+AD7,2)</f>
        <v>0</v>
      </c>
      <c r="AS59" s="11" t="str">
        <f>ROUND(141.75*(1+AD6)*(1+AD5)+AD7,2)</f>
        <v>0</v>
      </c>
      <c r="AT59" s="11" t="str">
        <f>ROUND(150.18*(1+AD6)*(1+AD5)+AD7,2)</f>
        <v>0</v>
      </c>
      <c r="AU59" s="11" t="str">
        <f>ROUND(158.53*(1+AD6)*(1+AD5)+AD7,2)</f>
        <v>0</v>
      </c>
      <c r="AV59" s="11" t="str">
        <f>ROUND(167.56*(1+AD6)*(1+AD5)+AD7,2)</f>
        <v>0</v>
      </c>
      <c r="AW59" s="11" t="str">
        <f>ROUND(177.45*(1+AD6)*(1+AD5)+AD7,2)</f>
        <v>0</v>
      </c>
      <c r="AX59" s="11" t="str">
        <f>ROUND(185.58*(1+AD6)*(1+AD5)+AD7,2)</f>
        <v>0</v>
      </c>
      <c r="AY59" s="11" t="str">
        <f>ROUND(194.18*(1+AD6)*(1+AD5)+AD7,2)</f>
        <v>0</v>
      </c>
      <c r="AZ59" s="11" t="str">
        <f>ROUND(202.4*(1+AD6)*(1+AD5)+AD7,2)</f>
        <v>0</v>
      </c>
      <c r="BA59" s="11" t="str">
        <f>ROUND(210.89*(1+AD6)*(1+AD5)+AD7,2)</f>
        <v>0</v>
      </c>
      <c r="BB59" s="11" t="str">
        <f>ROUND(221.46*(1+AD6)*(1+AD5)+AD7,2)</f>
        <v>0</v>
      </c>
      <c r="BC59" s="11" t="str">
        <f>ROUND(232.88*(1+AD6)*(1+AD5)+AD7,2)</f>
        <v>0</v>
      </c>
      <c r="BD59" s="11" t="str">
        <f>ROUND(243.42*(1+AD6)*(1+AD5)+AD7,2)</f>
        <v>0</v>
      </c>
      <c r="BE59" t="str">
        <f>ROUND(251.67*(1+AD6)*(1+AD5)+AD7,2)</f>
        <v>0</v>
      </c>
      <c r="BF59" t="str">
        <f>ROUND(259.84*(1+AD6)*(1+AD5)+AD7,2)</f>
        <v>0</v>
      </c>
    </row>
    <row r="60" spans="1:58">
      <c r="A60" s="11"/>
      <c r="B60" s="13"/>
      <c r="C60" s="17">
        <v>2900</v>
      </c>
      <c r="D60" s="11">
        <v>67.2</v>
      </c>
      <c r="E60" s="11">
        <v>75.74</v>
      </c>
      <c r="F60" s="11">
        <v>84.26</v>
      </c>
      <c r="G60" s="11">
        <v>92.89</v>
      </c>
      <c r="H60" s="11">
        <v>102.42</v>
      </c>
      <c r="I60" s="11">
        <v>111.96</v>
      </c>
      <c r="J60" s="11">
        <v>121.6</v>
      </c>
      <c r="K60" s="11">
        <v>130.5</v>
      </c>
      <c r="L60" s="11">
        <v>140.02</v>
      </c>
      <c r="M60" s="11">
        <v>148.83</v>
      </c>
      <c r="N60" s="11">
        <v>157.68</v>
      </c>
      <c r="O60" s="11">
        <v>166.45</v>
      </c>
      <c r="P60" s="11">
        <v>175.94</v>
      </c>
      <c r="Q60" s="11">
        <v>186.32</v>
      </c>
      <c r="R60" s="11">
        <v>194.86</v>
      </c>
      <c r="S60" s="11">
        <v>203.89</v>
      </c>
      <c r="T60" s="11">
        <v>212.52</v>
      </c>
      <c r="U60" s="11">
        <v>221.43</v>
      </c>
      <c r="V60" s="11">
        <v>232.54</v>
      </c>
      <c r="W60" s="11">
        <v>244.52</v>
      </c>
      <c r="X60" s="11">
        <v>255.59</v>
      </c>
      <c r="Y60" s="11">
        <v>264.25</v>
      </c>
      <c r="Z60" s="11">
        <v>272.83</v>
      </c>
      <c r="AA60" s="11"/>
      <c r="AB60" s="11"/>
      <c r="AC60" s="11"/>
      <c r="AD60" s="11"/>
      <c r="AE60" s="11"/>
      <c r="AF60" s="11"/>
      <c r="AG60" s="12"/>
      <c r="AH60" s="13"/>
      <c r="AI60" s="17">
        <v>2900</v>
      </c>
      <c r="AJ60" s="11" t="str">
        <f>ROUND(67.2*(1+AD6)*(1+AD5)+AD7,2)</f>
        <v>0</v>
      </c>
      <c r="AK60" s="11" t="str">
        <f>ROUND(75.74*(1+AD6)*(1+AD5)+AD7,2)</f>
        <v>0</v>
      </c>
      <c r="AL60" s="11" t="str">
        <f>ROUND(84.26*(1+AD6)*(1+AD5)+AD7,2)</f>
        <v>0</v>
      </c>
      <c r="AM60" s="11" t="str">
        <f>ROUND(92.89*(1+AD6)*(1+AD5)+AD7,2)</f>
        <v>0</v>
      </c>
      <c r="AN60" s="11" t="str">
        <f>ROUND(102.42*(1+AD6)*(1+AD5)+AD7,2)</f>
        <v>0</v>
      </c>
      <c r="AO60" s="11" t="str">
        <f>ROUND(111.96*(1+AD6)*(1+AD5)+AD7,2)</f>
        <v>0</v>
      </c>
      <c r="AP60" s="11" t="str">
        <f>ROUND(121.6*(1+AD6)*(1+AD5)+AD7,2)</f>
        <v>0</v>
      </c>
      <c r="AQ60" s="11" t="str">
        <f>ROUND(130.5*(1+AD6)*(1+AD5)+AD7,2)</f>
        <v>0</v>
      </c>
      <c r="AR60" s="11" t="str">
        <f>ROUND(140.02*(1+AD6)*(1+AD5)+AD7,2)</f>
        <v>0</v>
      </c>
      <c r="AS60" s="11" t="str">
        <f>ROUND(148.83*(1+AD6)*(1+AD5)+AD7,2)</f>
        <v>0</v>
      </c>
      <c r="AT60" s="11" t="str">
        <f>ROUND(157.68*(1+AD6)*(1+AD5)+AD7,2)</f>
        <v>0</v>
      </c>
      <c r="AU60" s="11" t="str">
        <f>ROUND(166.45*(1+AD6)*(1+AD5)+AD7,2)</f>
        <v>0</v>
      </c>
      <c r="AV60" s="11" t="str">
        <f>ROUND(175.94*(1+AD6)*(1+AD5)+AD7,2)</f>
        <v>0</v>
      </c>
      <c r="AW60" s="11" t="str">
        <f>ROUND(186.32*(1+AD6)*(1+AD5)+AD7,2)</f>
        <v>0</v>
      </c>
      <c r="AX60" s="11" t="str">
        <f>ROUND(194.86*(1+AD6)*(1+AD5)+AD7,2)</f>
        <v>0</v>
      </c>
      <c r="AY60" s="11" t="str">
        <f>ROUND(203.89*(1+AD6)*(1+AD5)+AD7,2)</f>
        <v>0</v>
      </c>
      <c r="AZ60" s="11" t="str">
        <f>ROUND(212.52*(1+AD6)*(1+AD5)+AD7,2)</f>
        <v>0</v>
      </c>
      <c r="BA60" s="11" t="str">
        <f>ROUND(221.43*(1+AD6)*(1+AD5)+AD7,2)</f>
        <v>0</v>
      </c>
      <c r="BB60" s="11" t="str">
        <f>ROUND(232.54*(1+AD6)*(1+AD5)+AD7,2)</f>
        <v>0</v>
      </c>
      <c r="BC60" s="11" t="str">
        <f>ROUND(244.52*(1+AD6)*(1+AD5)+AD7,2)</f>
        <v>0</v>
      </c>
      <c r="BD60" s="11" t="str">
        <f>ROUND(255.59*(1+AD6)*(1+AD5)+AD7,2)</f>
        <v>0</v>
      </c>
      <c r="BE60" t="str">
        <f>ROUND(264.25*(1+AD6)*(1+AD5)+AD7,2)</f>
        <v>0</v>
      </c>
      <c r="BF60" t="str">
        <f>ROUND(272.83*(1+AD6)*(1+AD5)+AD7,2)</f>
        <v>0</v>
      </c>
    </row>
    <row r="61" spans="1:58">
      <c r="A61" s="11"/>
      <c r="B61" s="13"/>
      <c r="C61" s="17">
        <v>3000</v>
      </c>
      <c r="D61" s="11">
        <v>70.56</v>
      </c>
      <c r="E61" s="11">
        <v>79.53</v>
      </c>
      <c r="F61" s="11">
        <v>88.47</v>
      </c>
      <c r="G61" s="11">
        <v>97.54</v>
      </c>
      <c r="H61" s="11">
        <v>107.54</v>
      </c>
      <c r="I61" s="11">
        <v>117.55</v>
      </c>
      <c r="J61" s="11">
        <v>127.68</v>
      </c>
      <c r="K61" s="11">
        <v>137.03</v>
      </c>
      <c r="L61" s="11">
        <v>147.02</v>
      </c>
      <c r="M61" s="11">
        <v>156.27</v>
      </c>
      <c r="N61" s="11">
        <v>165.57</v>
      </c>
      <c r="O61" s="11">
        <v>174.77</v>
      </c>
      <c r="P61" s="11">
        <v>184.73</v>
      </c>
      <c r="Q61" s="11">
        <v>195.64</v>
      </c>
      <c r="R61" s="11">
        <v>204.61</v>
      </c>
      <c r="S61" s="11">
        <v>214.08</v>
      </c>
      <c r="T61" s="11">
        <v>223.15</v>
      </c>
      <c r="U61" s="11">
        <v>232.5</v>
      </c>
      <c r="V61" s="11">
        <v>244.17</v>
      </c>
      <c r="W61" s="11">
        <v>256.74</v>
      </c>
      <c r="X61" s="11">
        <v>268.37</v>
      </c>
      <c r="Y61" s="11">
        <v>277.47</v>
      </c>
      <c r="Z61" s="11">
        <v>286.47</v>
      </c>
      <c r="AA61" s="11"/>
      <c r="AB61" s="11"/>
      <c r="AC61" s="11"/>
      <c r="AD61" s="11"/>
      <c r="AE61" s="11"/>
      <c r="AF61" s="11"/>
      <c r="AG61" s="12"/>
      <c r="AH61" s="13"/>
      <c r="AI61" s="17">
        <v>3000</v>
      </c>
      <c r="AJ61" s="11" t="str">
        <f>ROUND(70.56*(1+AD6)*(1+AD5)+AD7,2)</f>
        <v>0</v>
      </c>
      <c r="AK61" s="11" t="str">
        <f>ROUND(79.53*(1+AD6)*(1+AD5)+AD7,2)</f>
        <v>0</v>
      </c>
      <c r="AL61" s="11" t="str">
        <f>ROUND(88.47*(1+AD6)*(1+AD5)+AD7,2)</f>
        <v>0</v>
      </c>
      <c r="AM61" s="11" t="str">
        <f>ROUND(97.54*(1+AD6)*(1+AD5)+AD7,2)</f>
        <v>0</v>
      </c>
      <c r="AN61" s="11" t="str">
        <f>ROUND(107.54*(1+AD6)*(1+AD5)+AD7,2)</f>
        <v>0</v>
      </c>
      <c r="AO61" s="11" t="str">
        <f>ROUND(117.55*(1+AD6)*(1+AD5)+AD7,2)</f>
        <v>0</v>
      </c>
      <c r="AP61" s="11" t="str">
        <f>ROUND(127.68*(1+AD6)*(1+AD5)+AD7,2)</f>
        <v>0</v>
      </c>
      <c r="AQ61" s="11" t="str">
        <f>ROUND(137.03*(1+AD6)*(1+AD5)+AD7,2)</f>
        <v>0</v>
      </c>
      <c r="AR61" s="11" t="str">
        <f>ROUND(147.02*(1+AD6)*(1+AD5)+AD7,2)</f>
        <v>0</v>
      </c>
      <c r="AS61" s="11" t="str">
        <f>ROUND(156.27*(1+AD6)*(1+AD5)+AD7,2)</f>
        <v>0</v>
      </c>
      <c r="AT61" s="11" t="str">
        <f>ROUND(165.57*(1+AD6)*(1+AD5)+AD7,2)</f>
        <v>0</v>
      </c>
      <c r="AU61" s="11" t="str">
        <f>ROUND(174.77*(1+AD6)*(1+AD5)+AD7,2)</f>
        <v>0</v>
      </c>
      <c r="AV61" s="11" t="str">
        <f>ROUND(184.73*(1+AD6)*(1+AD5)+AD7,2)</f>
        <v>0</v>
      </c>
      <c r="AW61" s="11" t="str">
        <f>ROUND(195.64*(1+AD6)*(1+AD5)+AD7,2)</f>
        <v>0</v>
      </c>
      <c r="AX61" s="11" t="str">
        <f>ROUND(204.61*(1+AD6)*(1+AD5)+AD7,2)</f>
        <v>0</v>
      </c>
      <c r="AY61" s="11" t="str">
        <f>ROUND(214.08*(1+AD6)*(1+AD5)+AD7,2)</f>
        <v>0</v>
      </c>
      <c r="AZ61" s="11" t="str">
        <f>ROUND(223.15*(1+AD6)*(1+AD5)+AD7,2)</f>
        <v>0</v>
      </c>
      <c r="BA61" s="11" t="str">
        <f>ROUND(232.5*(1+AD6)*(1+AD5)+AD7,2)</f>
        <v>0</v>
      </c>
      <c r="BB61" s="11" t="str">
        <f>ROUND(244.17*(1+AD6)*(1+AD5)+AD7,2)</f>
        <v>0</v>
      </c>
      <c r="BC61" s="11" t="str">
        <f>ROUND(256.74*(1+AD6)*(1+AD5)+AD7,2)</f>
        <v>0</v>
      </c>
      <c r="BD61" s="11" t="str">
        <f>ROUND(268.37*(1+AD6)*(1+AD5)+AD7,2)</f>
        <v>0</v>
      </c>
      <c r="BE61" t="str">
        <f>ROUND(277.47*(1+AD6)*(1+AD5)+AD7,2)</f>
        <v>0</v>
      </c>
      <c r="BF61" t="str">
        <f>ROUND(286.47*(1+AD6)*(1+AD5)+AD7,2)</f>
        <v>0</v>
      </c>
    </row>
    <row r="62" spans="1:58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/>
      <c r="AH62" s="12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</row>
    <row r="63" spans="1:58">
      <c r="A63" s="11"/>
      <c r="B63" s="12"/>
      <c r="C63" s="15" t="s">
        <v>21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1"/>
      <c r="AB63" s="11"/>
      <c r="AC63" s="11"/>
      <c r="AD63" s="11"/>
      <c r="AE63" s="11"/>
      <c r="AF63" s="11"/>
      <c r="AG63" s="12"/>
      <c r="AH63" s="12"/>
      <c r="AI63" s="15" t="s">
        <v>21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6"/>
      <c r="BF63" s="6"/>
    </row>
    <row r="64" spans="1:58">
      <c r="A64" s="11"/>
      <c r="B64" s="12"/>
      <c r="C64" s="15" t="s">
        <v>22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1"/>
      <c r="AB64" s="11"/>
      <c r="AC64" s="11"/>
      <c r="AD64" s="11"/>
      <c r="AE64" s="11"/>
      <c r="AF64" s="11"/>
      <c r="AG64" s="12"/>
      <c r="AH64" s="12"/>
      <c r="AI64" s="15" t="s">
        <v>22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6"/>
      <c r="BF64" s="6"/>
    </row>
    <row r="65" spans="1:58">
      <c r="A65" s="11"/>
      <c r="B65" s="12"/>
      <c r="C65" s="16" t="s">
        <v>16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1"/>
      <c r="AB65" s="11"/>
      <c r="AC65" s="11"/>
      <c r="AD65" s="11"/>
      <c r="AE65" s="11"/>
      <c r="AF65" s="11"/>
      <c r="AG65" s="12"/>
      <c r="AH65" s="12"/>
      <c r="AI65" s="16" t="s">
        <v>16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7"/>
      <c r="BF65" s="7"/>
    </row>
    <row r="66" spans="1:58">
      <c r="A66" s="11"/>
      <c r="B66" s="13"/>
      <c r="C66" s="17" t="s">
        <v>17</v>
      </c>
      <c r="D66" s="17">
        <v>300</v>
      </c>
      <c r="E66" s="17">
        <v>400</v>
      </c>
      <c r="F66" s="17">
        <v>500</v>
      </c>
      <c r="G66" s="17">
        <v>600</v>
      </c>
      <c r="H66" s="17">
        <v>700</v>
      </c>
      <c r="I66" s="17">
        <v>800</v>
      </c>
      <c r="J66" s="17">
        <v>900</v>
      </c>
      <c r="K66" s="17">
        <v>1000</v>
      </c>
      <c r="L66" s="17">
        <v>1100</v>
      </c>
      <c r="M66" s="17">
        <v>1200</v>
      </c>
      <c r="N66" s="17">
        <v>1300</v>
      </c>
      <c r="O66" s="17">
        <v>1400</v>
      </c>
      <c r="P66" s="17">
        <v>1500</v>
      </c>
      <c r="Q66" s="17">
        <v>1600</v>
      </c>
      <c r="R66" s="17">
        <v>1700</v>
      </c>
      <c r="S66" s="17">
        <v>1800</v>
      </c>
      <c r="T66" s="17">
        <v>1900</v>
      </c>
      <c r="U66" s="17">
        <v>2000</v>
      </c>
      <c r="V66" s="17">
        <v>2100</v>
      </c>
      <c r="W66" s="17">
        <v>2200</v>
      </c>
      <c r="X66" s="17">
        <v>2300</v>
      </c>
      <c r="Y66" s="17">
        <v>2400</v>
      </c>
      <c r="Z66" s="17">
        <v>2500</v>
      </c>
      <c r="AA66" s="11"/>
      <c r="AB66" s="11"/>
      <c r="AC66" s="11"/>
      <c r="AD66" s="11"/>
      <c r="AE66" s="11"/>
      <c r="AF66" s="11"/>
      <c r="AG66" s="12"/>
      <c r="AH66" s="13"/>
      <c r="AI66" s="17" t="s">
        <v>17</v>
      </c>
      <c r="AJ66" s="17">
        <v>300</v>
      </c>
      <c r="AK66" s="17">
        <v>400</v>
      </c>
      <c r="AL66" s="17">
        <v>500</v>
      </c>
      <c r="AM66" s="17">
        <v>600</v>
      </c>
      <c r="AN66" s="17">
        <v>700</v>
      </c>
      <c r="AO66" s="17">
        <v>800</v>
      </c>
      <c r="AP66" s="17">
        <v>900</v>
      </c>
      <c r="AQ66" s="17">
        <v>1000</v>
      </c>
      <c r="AR66" s="17">
        <v>1100</v>
      </c>
      <c r="AS66" s="17">
        <v>1200</v>
      </c>
      <c r="AT66" s="17">
        <v>1300</v>
      </c>
      <c r="AU66" s="17">
        <v>1400</v>
      </c>
      <c r="AV66" s="17">
        <v>1500</v>
      </c>
      <c r="AW66" s="17">
        <v>1600</v>
      </c>
      <c r="AX66" s="17">
        <v>1700</v>
      </c>
      <c r="AY66" s="17">
        <v>1800</v>
      </c>
      <c r="AZ66" s="17">
        <v>1900</v>
      </c>
      <c r="BA66" s="17">
        <v>2000</v>
      </c>
      <c r="BB66" s="17">
        <v>2100</v>
      </c>
      <c r="BC66" s="17">
        <v>2200</v>
      </c>
      <c r="BD66" s="17">
        <v>2300</v>
      </c>
      <c r="BE66" s="8">
        <v>2400</v>
      </c>
      <c r="BF66" s="8">
        <v>2500</v>
      </c>
    </row>
    <row r="67" spans="1:58">
      <c r="A67" s="11"/>
      <c r="B67" s="13" t="s">
        <v>18</v>
      </c>
      <c r="C67" s="17">
        <v>1000</v>
      </c>
      <c r="D67" s="11">
        <v>58.14</v>
      </c>
      <c r="E67" s="11">
        <v>64.5</v>
      </c>
      <c r="F67" s="11">
        <v>70.82</v>
      </c>
      <c r="G67" s="11">
        <v>77.28</v>
      </c>
      <c r="H67" s="11">
        <v>84.48</v>
      </c>
      <c r="I67" s="11">
        <v>91.69</v>
      </c>
      <c r="J67" s="11">
        <v>98.94</v>
      </c>
      <c r="K67" s="11">
        <v>105.6</v>
      </c>
      <c r="L67" s="11">
        <v>112.93</v>
      </c>
      <c r="M67" s="11">
        <v>119.52</v>
      </c>
      <c r="N67" s="11">
        <v>126.15</v>
      </c>
      <c r="O67" s="11">
        <v>132.68</v>
      </c>
      <c r="P67" s="11">
        <v>139.87</v>
      </c>
      <c r="Q67" s="11">
        <v>147.84</v>
      </c>
      <c r="R67" s="11">
        <v>154.24</v>
      </c>
      <c r="S67" s="11">
        <v>161</v>
      </c>
      <c r="T67" s="11">
        <v>167.46</v>
      </c>
      <c r="U67" s="11">
        <v>174.13</v>
      </c>
      <c r="V67" s="11">
        <v>182.75</v>
      </c>
      <c r="W67" s="11">
        <v>191.95</v>
      </c>
      <c r="X67" s="11">
        <v>200.38</v>
      </c>
      <c r="Y67" s="11">
        <v>206.86</v>
      </c>
      <c r="Z67" s="11">
        <v>213.62</v>
      </c>
      <c r="AA67" s="11"/>
      <c r="AB67" s="11"/>
      <c r="AC67" s="11"/>
      <c r="AD67" s="11"/>
      <c r="AE67" s="11"/>
      <c r="AF67" s="11"/>
      <c r="AG67" s="12"/>
      <c r="AH67" s="13" t="s">
        <v>18</v>
      </c>
      <c r="AI67" s="17">
        <v>1000</v>
      </c>
      <c r="AJ67" s="11" t="str">
        <f>ROUND(58.14*(1+AD6)*(1+AD5)+AD7,2)</f>
        <v>0</v>
      </c>
      <c r="AK67" s="11" t="str">
        <f>ROUND(64.5*(1+AD6)*(1+AD5)+AD7,2)</f>
        <v>0</v>
      </c>
      <c r="AL67" s="11" t="str">
        <f>ROUND(70.82*(1+AD6)*(1+AD5)+AD7,2)</f>
        <v>0</v>
      </c>
      <c r="AM67" s="11" t="str">
        <f>ROUND(77.28*(1+AD6)*(1+AD5)+AD7,2)</f>
        <v>0</v>
      </c>
      <c r="AN67" s="11" t="str">
        <f>ROUND(84.48*(1+AD6)*(1+AD5)+AD7,2)</f>
        <v>0</v>
      </c>
      <c r="AO67" s="11" t="str">
        <f>ROUND(91.69*(1+AD6)*(1+AD5)+AD7,2)</f>
        <v>0</v>
      </c>
      <c r="AP67" s="11" t="str">
        <f>ROUND(98.94*(1+AD6)*(1+AD5)+AD7,2)</f>
        <v>0</v>
      </c>
      <c r="AQ67" s="11" t="str">
        <f>ROUND(105.6*(1+AD6)*(1+AD5)+AD7,2)</f>
        <v>0</v>
      </c>
      <c r="AR67" s="11" t="str">
        <f>ROUND(112.93*(1+AD6)*(1+AD5)+AD7,2)</f>
        <v>0</v>
      </c>
      <c r="AS67" s="11" t="str">
        <f>ROUND(119.52*(1+AD6)*(1+AD5)+AD7,2)</f>
        <v>0</v>
      </c>
      <c r="AT67" s="11" t="str">
        <f>ROUND(126.15*(1+AD6)*(1+AD5)+AD7,2)</f>
        <v>0</v>
      </c>
      <c r="AU67" s="11" t="str">
        <f>ROUND(132.68*(1+AD6)*(1+AD5)+AD7,2)</f>
        <v>0</v>
      </c>
      <c r="AV67" s="11" t="str">
        <f>ROUND(139.87*(1+AD6)*(1+AD5)+AD7,2)</f>
        <v>0</v>
      </c>
      <c r="AW67" s="11" t="str">
        <f>ROUND(147.84*(1+AD6)*(1+AD5)+AD7,2)</f>
        <v>0</v>
      </c>
      <c r="AX67" s="11" t="str">
        <f>ROUND(154.24*(1+AD6)*(1+AD5)+AD7,2)</f>
        <v>0</v>
      </c>
      <c r="AY67" s="11" t="str">
        <f>ROUND(161*(1+AD6)*(1+AD5)+AD7,2)</f>
        <v>0</v>
      </c>
      <c r="AZ67" s="11" t="str">
        <f>ROUND(167.46*(1+AD6)*(1+AD5)+AD7,2)</f>
        <v>0</v>
      </c>
      <c r="BA67" s="11" t="str">
        <f>ROUND(174.13*(1+AD6)*(1+AD5)+AD7,2)</f>
        <v>0</v>
      </c>
      <c r="BB67" s="11" t="str">
        <f>ROUND(182.75*(1+AD6)*(1+AD5)+AD7,2)</f>
        <v>0</v>
      </c>
      <c r="BC67" s="11" t="str">
        <f>ROUND(191.95*(1+AD6)*(1+AD5)+AD7,2)</f>
        <v>0</v>
      </c>
      <c r="BD67" s="11" t="str">
        <f>ROUND(200.38*(1+AD6)*(1+AD5)+AD7,2)</f>
        <v>0</v>
      </c>
      <c r="BE67" t="str">
        <f>ROUND(206.86*(1+AD6)*(1+AD5)+AD7,2)</f>
        <v>0</v>
      </c>
      <c r="BF67" t="str">
        <f>ROUND(213.62*(1+AD6)*(1+AD5)+AD7,2)</f>
        <v>0</v>
      </c>
    </row>
    <row r="68" spans="1:58">
      <c r="A68" s="11"/>
      <c r="B68" s="13"/>
      <c r="C68" s="17">
        <v>1100</v>
      </c>
      <c r="D68" s="11">
        <v>58.66</v>
      </c>
      <c r="E68" s="11">
        <v>65.16</v>
      </c>
      <c r="F68" s="11">
        <v>71.66</v>
      </c>
      <c r="G68" s="11">
        <v>78.26</v>
      </c>
      <c r="H68" s="11">
        <v>85.57</v>
      </c>
      <c r="I68" s="11">
        <v>92.93</v>
      </c>
      <c r="J68" s="11">
        <v>100.33</v>
      </c>
      <c r="K68" s="11">
        <v>107.15</v>
      </c>
      <c r="L68" s="11">
        <v>114.63</v>
      </c>
      <c r="M68" s="11">
        <v>121.37</v>
      </c>
      <c r="N68" s="11">
        <v>128.14</v>
      </c>
      <c r="O68" s="11">
        <v>134.87</v>
      </c>
      <c r="P68" s="11">
        <v>142.15</v>
      </c>
      <c r="Q68" s="11">
        <v>150.3</v>
      </c>
      <c r="R68" s="11">
        <v>156.79</v>
      </c>
      <c r="S68" s="11">
        <v>163.72</v>
      </c>
      <c r="T68" s="11">
        <v>170.32</v>
      </c>
      <c r="U68" s="11">
        <v>177.14</v>
      </c>
      <c r="V68" s="11">
        <v>185.91</v>
      </c>
      <c r="W68" s="11">
        <v>195.3</v>
      </c>
      <c r="X68" s="11">
        <v>203.85</v>
      </c>
      <c r="Y68" s="11">
        <v>210.46</v>
      </c>
      <c r="Z68" s="11">
        <v>217.33</v>
      </c>
      <c r="AA68" s="11"/>
      <c r="AB68" s="11"/>
      <c r="AC68" s="11"/>
      <c r="AD68" s="11"/>
      <c r="AE68" s="11"/>
      <c r="AF68" s="11"/>
      <c r="AG68" s="12"/>
      <c r="AH68" s="13"/>
      <c r="AI68" s="17">
        <v>1100</v>
      </c>
      <c r="AJ68" s="11" t="str">
        <f>ROUND(58.66*(1+AD6)*(1+AD5)+AD7,2)</f>
        <v>0</v>
      </c>
      <c r="AK68" s="11" t="str">
        <f>ROUND(65.16*(1+AD6)*(1+AD5)+AD7,2)</f>
        <v>0</v>
      </c>
      <c r="AL68" s="11" t="str">
        <f>ROUND(71.66*(1+AD6)*(1+AD5)+AD7,2)</f>
        <v>0</v>
      </c>
      <c r="AM68" s="11" t="str">
        <f>ROUND(78.26*(1+AD6)*(1+AD5)+AD7,2)</f>
        <v>0</v>
      </c>
      <c r="AN68" s="11" t="str">
        <f>ROUND(85.57*(1+AD6)*(1+AD5)+AD7,2)</f>
        <v>0</v>
      </c>
      <c r="AO68" s="11" t="str">
        <f>ROUND(92.93*(1+AD6)*(1+AD5)+AD7,2)</f>
        <v>0</v>
      </c>
      <c r="AP68" s="11" t="str">
        <f>ROUND(100.33*(1+AD6)*(1+AD5)+AD7,2)</f>
        <v>0</v>
      </c>
      <c r="AQ68" s="11" t="str">
        <f>ROUND(107.15*(1+AD6)*(1+AD5)+AD7,2)</f>
        <v>0</v>
      </c>
      <c r="AR68" s="11" t="str">
        <f>ROUND(114.63*(1+AD6)*(1+AD5)+AD7,2)</f>
        <v>0</v>
      </c>
      <c r="AS68" s="11" t="str">
        <f>ROUND(121.37*(1+AD6)*(1+AD5)+AD7,2)</f>
        <v>0</v>
      </c>
      <c r="AT68" s="11" t="str">
        <f>ROUND(128.14*(1+AD6)*(1+AD5)+AD7,2)</f>
        <v>0</v>
      </c>
      <c r="AU68" s="11" t="str">
        <f>ROUND(134.87*(1+AD6)*(1+AD5)+AD7,2)</f>
        <v>0</v>
      </c>
      <c r="AV68" s="11" t="str">
        <f>ROUND(142.15*(1+AD6)*(1+AD5)+AD7,2)</f>
        <v>0</v>
      </c>
      <c r="AW68" s="11" t="str">
        <f>ROUND(150.3*(1+AD6)*(1+AD5)+AD7,2)</f>
        <v>0</v>
      </c>
      <c r="AX68" s="11" t="str">
        <f>ROUND(156.79*(1+AD6)*(1+AD5)+AD7,2)</f>
        <v>0</v>
      </c>
      <c r="AY68" s="11" t="str">
        <f>ROUND(163.72*(1+AD6)*(1+AD5)+AD7,2)</f>
        <v>0</v>
      </c>
      <c r="AZ68" s="11" t="str">
        <f>ROUND(170.32*(1+AD6)*(1+AD5)+AD7,2)</f>
        <v>0</v>
      </c>
      <c r="BA68" s="11" t="str">
        <f>ROUND(177.14*(1+AD6)*(1+AD5)+AD7,2)</f>
        <v>0</v>
      </c>
      <c r="BB68" s="11" t="str">
        <f>ROUND(185.91*(1+AD6)*(1+AD5)+AD7,2)</f>
        <v>0</v>
      </c>
      <c r="BC68" s="11" t="str">
        <f>ROUND(195.3*(1+AD6)*(1+AD5)+AD7,2)</f>
        <v>0</v>
      </c>
      <c r="BD68" s="11" t="str">
        <f>ROUND(203.85*(1+AD6)*(1+AD5)+AD7,2)</f>
        <v>0</v>
      </c>
      <c r="BE68" t="str">
        <f>ROUND(210.46*(1+AD6)*(1+AD5)+AD7,2)</f>
        <v>0</v>
      </c>
      <c r="BF68" t="str">
        <f>ROUND(217.33*(1+AD6)*(1+AD5)+AD7,2)</f>
        <v>0</v>
      </c>
    </row>
    <row r="69" spans="1:58">
      <c r="A69" s="11"/>
      <c r="B69" s="13"/>
      <c r="C69" s="17">
        <v>1200</v>
      </c>
      <c r="D69" s="11">
        <v>59.2</v>
      </c>
      <c r="E69" s="11">
        <v>65.86</v>
      </c>
      <c r="F69" s="11">
        <v>72.49</v>
      </c>
      <c r="G69" s="11">
        <v>79.2</v>
      </c>
      <c r="H69" s="11">
        <v>86.67</v>
      </c>
      <c r="I69" s="11">
        <v>94.19</v>
      </c>
      <c r="J69" s="11">
        <v>101.75</v>
      </c>
      <c r="K69" s="11">
        <v>108.72</v>
      </c>
      <c r="L69" s="11">
        <v>116.36</v>
      </c>
      <c r="M69" s="11">
        <v>123.25</v>
      </c>
      <c r="N69" s="11">
        <v>132.36</v>
      </c>
      <c r="O69" s="11">
        <v>136.97</v>
      </c>
      <c r="P69" s="11">
        <v>144.42</v>
      </c>
      <c r="Q69" s="11">
        <v>152.74</v>
      </c>
      <c r="R69" s="11">
        <v>159.4</v>
      </c>
      <c r="S69" s="11">
        <v>166.47</v>
      </c>
      <c r="T69" s="11">
        <v>173.21</v>
      </c>
      <c r="U69" s="11">
        <v>180.19</v>
      </c>
      <c r="V69" s="11">
        <v>189.07</v>
      </c>
      <c r="W69" s="11">
        <v>198.59</v>
      </c>
      <c r="X69" s="11">
        <v>207.32</v>
      </c>
      <c r="Y69" s="11">
        <v>214.1</v>
      </c>
      <c r="Z69" s="11">
        <v>221.07</v>
      </c>
      <c r="AA69" s="11"/>
      <c r="AB69" s="11"/>
      <c r="AC69" s="11"/>
      <c r="AD69" s="11"/>
      <c r="AE69" s="11"/>
      <c r="AF69" s="11"/>
      <c r="AG69" s="12"/>
      <c r="AH69" s="13"/>
      <c r="AI69" s="17">
        <v>1200</v>
      </c>
      <c r="AJ69" s="11" t="str">
        <f>ROUND(59.2*(1+AD6)*(1+AD5)+AD7,2)</f>
        <v>0</v>
      </c>
      <c r="AK69" s="11" t="str">
        <f>ROUND(65.86*(1+AD6)*(1+AD5)+AD7,2)</f>
        <v>0</v>
      </c>
      <c r="AL69" s="11" t="str">
        <f>ROUND(72.49*(1+AD6)*(1+AD5)+AD7,2)</f>
        <v>0</v>
      </c>
      <c r="AM69" s="11" t="str">
        <f>ROUND(79.2*(1+AD6)*(1+AD5)+AD7,2)</f>
        <v>0</v>
      </c>
      <c r="AN69" s="11" t="str">
        <f>ROUND(86.67*(1+AD6)*(1+AD5)+AD7,2)</f>
        <v>0</v>
      </c>
      <c r="AO69" s="11" t="str">
        <f>ROUND(94.19*(1+AD6)*(1+AD5)+AD7,2)</f>
        <v>0</v>
      </c>
      <c r="AP69" s="11" t="str">
        <f>ROUND(101.75*(1+AD6)*(1+AD5)+AD7,2)</f>
        <v>0</v>
      </c>
      <c r="AQ69" s="11" t="str">
        <f>ROUND(108.72*(1+AD6)*(1+AD5)+AD7,2)</f>
        <v>0</v>
      </c>
      <c r="AR69" s="11" t="str">
        <f>ROUND(116.36*(1+AD6)*(1+AD5)+AD7,2)</f>
        <v>0</v>
      </c>
      <c r="AS69" s="11" t="str">
        <f>ROUND(123.25*(1+AD6)*(1+AD5)+AD7,2)</f>
        <v>0</v>
      </c>
      <c r="AT69" s="11" t="str">
        <f>ROUND(132.36*(1+AD6)*(1+AD5)+AD7,2)</f>
        <v>0</v>
      </c>
      <c r="AU69" s="11" t="str">
        <f>ROUND(136.97*(1+AD6)*(1+AD5)+AD7,2)</f>
        <v>0</v>
      </c>
      <c r="AV69" s="11" t="str">
        <f>ROUND(144.42*(1+AD6)*(1+AD5)+AD7,2)</f>
        <v>0</v>
      </c>
      <c r="AW69" s="11" t="str">
        <f>ROUND(152.74*(1+AD6)*(1+AD5)+AD7,2)</f>
        <v>0</v>
      </c>
      <c r="AX69" s="11" t="str">
        <f>ROUND(159.4*(1+AD6)*(1+AD5)+AD7,2)</f>
        <v>0</v>
      </c>
      <c r="AY69" s="11" t="str">
        <f>ROUND(166.47*(1+AD6)*(1+AD5)+AD7,2)</f>
        <v>0</v>
      </c>
      <c r="AZ69" s="11" t="str">
        <f>ROUND(173.21*(1+AD6)*(1+AD5)+AD7,2)</f>
        <v>0</v>
      </c>
      <c r="BA69" s="11" t="str">
        <f>ROUND(180.19*(1+AD6)*(1+AD5)+AD7,2)</f>
        <v>0</v>
      </c>
      <c r="BB69" s="11" t="str">
        <f>ROUND(189.07*(1+AD6)*(1+AD5)+AD7,2)</f>
        <v>0</v>
      </c>
      <c r="BC69" s="11" t="str">
        <f>ROUND(198.59*(1+AD6)*(1+AD5)+AD7,2)</f>
        <v>0</v>
      </c>
      <c r="BD69" s="11" t="str">
        <f>ROUND(207.32*(1+AD6)*(1+AD5)+AD7,2)</f>
        <v>0</v>
      </c>
      <c r="BE69" t="str">
        <f>ROUND(214.1*(1+AD6)*(1+AD5)+AD7,2)</f>
        <v>0</v>
      </c>
      <c r="BF69" t="str">
        <f>ROUND(221.07*(1+AD6)*(1+AD5)+AD7,2)</f>
        <v>0</v>
      </c>
    </row>
    <row r="70" spans="1:58">
      <c r="A70" s="11"/>
      <c r="B70" s="13"/>
      <c r="C70" s="17">
        <v>1300</v>
      </c>
      <c r="D70" s="11">
        <v>59.7</v>
      </c>
      <c r="E70" s="11">
        <v>66.5</v>
      </c>
      <c r="F70" s="11">
        <v>73.31</v>
      </c>
      <c r="G70" s="11">
        <v>80.18</v>
      </c>
      <c r="H70" s="11">
        <v>87.8</v>
      </c>
      <c r="I70" s="11">
        <v>95.29</v>
      </c>
      <c r="J70" s="11">
        <v>103.14</v>
      </c>
      <c r="K70" s="11">
        <v>110.28</v>
      </c>
      <c r="L70" s="11">
        <v>118.06</v>
      </c>
      <c r="M70" s="11">
        <v>125.06</v>
      </c>
      <c r="N70" s="11">
        <v>132.15</v>
      </c>
      <c r="O70" s="11">
        <v>139.15</v>
      </c>
      <c r="P70" s="11">
        <v>146.73</v>
      </c>
      <c r="Q70" s="11">
        <v>155.17</v>
      </c>
      <c r="R70" s="11">
        <v>161.99</v>
      </c>
      <c r="S70" s="11">
        <v>169.19</v>
      </c>
      <c r="T70" s="11">
        <v>176.1</v>
      </c>
      <c r="U70" s="11">
        <v>183.2</v>
      </c>
      <c r="V70" s="11">
        <v>192.24</v>
      </c>
      <c r="W70" s="11">
        <v>201.94</v>
      </c>
      <c r="X70" s="11">
        <v>210.81</v>
      </c>
      <c r="Y70" s="11">
        <v>217.7</v>
      </c>
      <c r="Z70" s="11">
        <v>224.78</v>
      </c>
      <c r="AA70" s="11"/>
      <c r="AB70" s="11"/>
      <c r="AC70" s="11"/>
      <c r="AD70" s="11"/>
      <c r="AE70" s="11"/>
      <c r="AF70" s="11"/>
      <c r="AG70" s="12"/>
      <c r="AH70" s="13"/>
      <c r="AI70" s="17">
        <v>1300</v>
      </c>
      <c r="AJ70" s="11" t="str">
        <f>ROUND(59.7*(1+AD6)*(1+AD5)+AD7,2)</f>
        <v>0</v>
      </c>
      <c r="AK70" s="11" t="str">
        <f>ROUND(66.5*(1+AD6)*(1+AD5)+AD7,2)</f>
        <v>0</v>
      </c>
      <c r="AL70" s="11" t="str">
        <f>ROUND(73.31*(1+AD6)*(1+AD5)+AD7,2)</f>
        <v>0</v>
      </c>
      <c r="AM70" s="11" t="str">
        <f>ROUND(80.18*(1+AD6)*(1+AD5)+AD7,2)</f>
        <v>0</v>
      </c>
      <c r="AN70" s="11" t="str">
        <f>ROUND(87.8*(1+AD6)*(1+AD5)+AD7,2)</f>
        <v>0</v>
      </c>
      <c r="AO70" s="11" t="str">
        <f>ROUND(95.29*(1+AD6)*(1+AD5)+AD7,2)</f>
        <v>0</v>
      </c>
      <c r="AP70" s="11" t="str">
        <f>ROUND(103.14*(1+AD6)*(1+AD5)+AD7,2)</f>
        <v>0</v>
      </c>
      <c r="AQ70" s="11" t="str">
        <f>ROUND(110.28*(1+AD6)*(1+AD5)+AD7,2)</f>
        <v>0</v>
      </c>
      <c r="AR70" s="11" t="str">
        <f>ROUND(118.06*(1+AD6)*(1+AD5)+AD7,2)</f>
        <v>0</v>
      </c>
      <c r="AS70" s="11" t="str">
        <f>ROUND(125.06*(1+AD6)*(1+AD5)+AD7,2)</f>
        <v>0</v>
      </c>
      <c r="AT70" s="11" t="str">
        <f>ROUND(132.15*(1+AD6)*(1+AD5)+AD7,2)</f>
        <v>0</v>
      </c>
      <c r="AU70" s="11" t="str">
        <f>ROUND(139.15*(1+AD6)*(1+AD5)+AD7,2)</f>
        <v>0</v>
      </c>
      <c r="AV70" s="11" t="str">
        <f>ROUND(146.73*(1+AD6)*(1+AD5)+AD7,2)</f>
        <v>0</v>
      </c>
      <c r="AW70" s="11" t="str">
        <f>ROUND(155.17*(1+AD6)*(1+AD5)+AD7,2)</f>
        <v>0</v>
      </c>
      <c r="AX70" s="11" t="str">
        <f>ROUND(161.99*(1+AD6)*(1+AD5)+AD7,2)</f>
        <v>0</v>
      </c>
      <c r="AY70" s="11" t="str">
        <f>ROUND(169.19*(1+AD6)*(1+AD5)+AD7,2)</f>
        <v>0</v>
      </c>
      <c r="AZ70" s="11" t="str">
        <f>ROUND(176.1*(1+AD6)*(1+AD5)+AD7,2)</f>
        <v>0</v>
      </c>
      <c r="BA70" s="11" t="str">
        <f>ROUND(183.2*(1+AD6)*(1+AD5)+AD7,2)</f>
        <v>0</v>
      </c>
      <c r="BB70" s="11" t="str">
        <f>ROUND(192.24*(1+AD6)*(1+AD5)+AD7,2)</f>
        <v>0</v>
      </c>
      <c r="BC70" s="11" t="str">
        <f>ROUND(201.94*(1+AD6)*(1+AD5)+AD7,2)</f>
        <v>0</v>
      </c>
      <c r="BD70" s="11" t="str">
        <f>ROUND(210.81*(1+AD6)*(1+AD5)+AD7,2)</f>
        <v>0</v>
      </c>
      <c r="BE70" t="str">
        <f>ROUND(217.7*(1+AD6)*(1+AD5)+AD7,2)</f>
        <v>0</v>
      </c>
      <c r="BF70" t="str">
        <f>ROUND(224.78*(1+AD6)*(1+AD5)+AD7,2)</f>
        <v>0</v>
      </c>
    </row>
    <row r="71" spans="1:58">
      <c r="A71" s="11"/>
      <c r="B71" s="13"/>
      <c r="C71" s="17">
        <v>1400</v>
      </c>
      <c r="D71" s="11">
        <v>60.22</v>
      </c>
      <c r="E71" s="11">
        <v>67.18</v>
      </c>
      <c r="F71" s="11">
        <v>74.11</v>
      </c>
      <c r="G71" s="11">
        <v>81.14</v>
      </c>
      <c r="H71" s="11">
        <v>88.93</v>
      </c>
      <c r="I71" s="11">
        <v>96.71</v>
      </c>
      <c r="J71" s="11">
        <v>104.57</v>
      </c>
      <c r="K71" s="11">
        <v>111.82</v>
      </c>
      <c r="L71" s="11">
        <v>119.74</v>
      </c>
      <c r="M71" s="11">
        <v>126.93</v>
      </c>
      <c r="N71" s="11">
        <v>134.13</v>
      </c>
      <c r="O71" s="11">
        <v>141.29</v>
      </c>
      <c r="P71" s="11">
        <v>149.01</v>
      </c>
      <c r="Q71" s="11">
        <v>157.59</v>
      </c>
      <c r="R71" s="11">
        <v>164.56</v>
      </c>
      <c r="S71" s="11">
        <v>171.9</v>
      </c>
      <c r="T71" s="11">
        <v>178.98</v>
      </c>
      <c r="U71" s="11">
        <v>186.24</v>
      </c>
      <c r="V71" s="11">
        <v>195.42</v>
      </c>
      <c r="W71" s="11">
        <v>205.23</v>
      </c>
      <c r="X71" s="11">
        <v>214.27</v>
      </c>
      <c r="Y71" s="11">
        <v>221.33</v>
      </c>
      <c r="Z71" s="11">
        <v>228.53</v>
      </c>
      <c r="AA71" s="11"/>
      <c r="AB71" s="11"/>
      <c r="AC71" s="11"/>
      <c r="AD71" s="11"/>
      <c r="AE71" s="11"/>
      <c r="AF71" s="11"/>
      <c r="AG71" s="12"/>
      <c r="AH71" s="13"/>
      <c r="AI71" s="17">
        <v>1400</v>
      </c>
      <c r="AJ71" s="11" t="str">
        <f>ROUND(60.22*(1+AD6)*(1+AD5)+AD7,2)</f>
        <v>0</v>
      </c>
      <c r="AK71" s="11" t="str">
        <f>ROUND(67.18*(1+AD6)*(1+AD5)+AD7,2)</f>
        <v>0</v>
      </c>
      <c r="AL71" s="11" t="str">
        <f>ROUND(74.11*(1+AD6)*(1+AD5)+AD7,2)</f>
        <v>0</v>
      </c>
      <c r="AM71" s="11" t="str">
        <f>ROUND(81.14*(1+AD6)*(1+AD5)+AD7,2)</f>
        <v>0</v>
      </c>
      <c r="AN71" s="11" t="str">
        <f>ROUND(88.93*(1+AD6)*(1+AD5)+AD7,2)</f>
        <v>0</v>
      </c>
      <c r="AO71" s="11" t="str">
        <f>ROUND(96.71*(1+AD6)*(1+AD5)+AD7,2)</f>
        <v>0</v>
      </c>
      <c r="AP71" s="11" t="str">
        <f>ROUND(104.57*(1+AD6)*(1+AD5)+AD7,2)</f>
        <v>0</v>
      </c>
      <c r="AQ71" s="11" t="str">
        <f>ROUND(111.82*(1+AD6)*(1+AD5)+AD7,2)</f>
        <v>0</v>
      </c>
      <c r="AR71" s="11" t="str">
        <f>ROUND(119.74*(1+AD6)*(1+AD5)+AD7,2)</f>
        <v>0</v>
      </c>
      <c r="AS71" s="11" t="str">
        <f>ROUND(126.93*(1+AD6)*(1+AD5)+AD7,2)</f>
        <v>0</v>
      </c>
      <c r="AT71" s="11" t="str">
        <f>ROUND(134.13*(1+AD6)*(1+AD5)+AD7,2)</f>
        <v>0</v>
      </c>
      <c r="AU71" s="11" t="str">
        <f>ROUND(141.29*(1+AD6)*(1+AD5)+AD7,2)</f>
        <v>0</v>
      </c>
      <c r="AV71" s="11" t="str">
        <f>ROUND(149.01*(1+AD6)*(1+AD5)+AD7,2)</f>
        <v>0</v>
      </c>
      <c r="AW71" s="11" t="str">
        <f>ROUND(157.59*(1+AD6)*(1+AD5)+AD7,2)</f>
        <v>0</v>
      </c>
      <c r="AX71" s="11" t="str">
        <f>ROUND(164.56*(1+AD6)*(1+AD5)+AD7,2)</f>
        <v>0</v>
      </c>
      <c r="AY71" s="11" t="str">
        <f>ROUND(171.9*(1+AD6)*(1+AD5)+AD7,2)</f>
        <v>0</v>
      </c>
      <c r="AZ71" s="11" t="str">
        <f>ROUND(178.98*(1+AD6)*(1+AD5)+AD7,2)</f>
        <v>0</v>
      </c>
      <c r="BA71" s="11" t="str">
        <f>ROUND(186.24*(1+AD6)*(1+AD5)+AD7,2)</f>
        <v>0</v>
      </c>
      <c r="BB71" s="11" t="str">
        <f>ROUND(195.42*(1+AD6)*(1+AD5)+AD7,2)</f>
        <v>0</v>
      </c>
      <c r="BC71" s="11" t="str">
        <f>ROUND(205.23*(1+AD6)*(1+AD5)+AD7,2)</f>
        <v>0</v>
      </c>
      <c r="BD71" s="11" t="str">
        <f>ROUND(214.27*(1+AD6)*(1+AD5)+AD7,2)</f>
        <v>0</v>
      </c>
      <c r="BE71" t="str">
        <f>ROUND(221.33*(1+AD6)*(1+AD5)+AD7,2)</f>
        <v>0</v>
      </c>
      <c r="BF71" t="str">
        <f>ROUND(228.53*(1+AD6)*(1+AD5)+AD7,2)</f>
        <v>0</v>
      </c>
    </row>
    <row r="72" spans="1:58">
      <c r="A72" s="11"/>
      <c r="B72" s="13"/>
      <c r="C72" s="17">
        <v>1500</v>
      </c>
      <c r="D72" s="11">
        <v>60.72</v>
      </c>
      <c r="E72" s="11">
        <v>67.85</v>
      </c>
      <c r="F72" s="11">
        <v>74.94</v>
      </c>
      <c r="G72" s="11">
        <v>82.1</v>
      </c>
      <c r="H72" s="11">
        <v>90.02</v>
      </c>
      <c r="I72" s="11">
        <v>97.96</v>
      </c>
      <c r="J72" s="11">
        <v>105.97</v>
      </c>
      <c r="K72" s="11">
        <v>113.39</v>
      </c>
      <c r="L72" s="11">
        <v>121.44</v>
      </c>
      <c r="M72" s="11">
        <v>128.8</v>
      </c>
      <c r="N72" s="11">
        <v>136.14</v>
      </c>
      <c r="O72" s="11">
        <v>143.41</v>
      </c>
      <c r="P72" s="11">
        <v>151.32</v>
      </c>
      <c r="Q72" s="11">
        <v>160.04</v>
      </c>
      <c r="R72" s="11">
        <v>167.14</v>
      </c>
      <c r="S72" s="11">
        <v>174.67</v>
      </c>
      <c r="T72" s="11">
        <v>181.87</v>
      </c>
      <c r="U72" s="11">
        <v>189.25</v>
      </c>
      <c r="V72" s="11">
        <v>198.62</v>
      </c>
      <c r="W72" s="11">
        <v>208.58</v>
      </c>
      <c r="X72" s="11">
        <v>217.78</v>
      </c>
      <c r="Y72" s="11">
        <v>224.97</v>
      </c>
      <c r="Z72" s="11">
        <v>232.24</v>
      </c>
      <c r="AA72" s="11"/>
      <c r="AB72" s="11"/>
      <c r="AC72" s="11"/>
      <c r="AD72" s="11"/>
      <c r="AE72" s="11"/>
      <c r="AF72" s="11"/>
      <c r="AG72" s="12"/>
      <c r="AH72" s="13"/>
      <c r="AI72" s="17">
        <v>1500</v>
      </c>
      <c r="AJ72" s="11" t="str">
        <f>ROUND(60.72*(1+AD6)*(1+AD5)+AD7,2)</f>
        <v>0</v>
      </c>
      <c r="AK72" s="11" t="str">
        <f>ROUND(67.85*(1+AD6)*(1+AD5)+AD7,2)</f>
        <v>0</v>
      </c>
      <c r="AL72" s="11" t="str">
        <f>ROUND(74.94*(1+AD6)*(1+AD5)+AD7,2)</f>
        <v>0</v>
      </c>
      <c r="AM72" s="11" t="str">
        <f>ROUND(82.1*(1+AD6)*(1+AD5)+AD7,2)</f>
        <v>0</v>
      </c>
      <c r="AN72" s="11" t="str">
        <f>ROUND(90.02*(1+AD6)*(1+AD5)+AD7,2)</f>
        <v>0</v>
      </c>
      <c r="AO72" s="11" t="str">
        <f>ROUND(97.96*(1+AD6)*(1+AD5)+AD7,2)</f>
        <v>0</v>
      </c>
      <c r="AP72" s="11" t="str">
        <f>ROUND(105.97*(1+AD6)*(1+AD5)+AD7,2)</f>
        <v>0</v>
      </c>
      <c r="AQ72" s="11" t="str">
        <f>ROUND(113.39*(1+AD6)*(1+AD5)+AD7,2)</f>
        <v>0</v>
      </c>
      <c r="AR72" s="11" t="str">
        <f>ROUND(121.44*(1+AD6)*(1+AD5)+AD7,2)</f>
        <v>0</v>
      </c>
      <c r="AS72" s="11" t="str">
        <f>ROUND(128.8*(1+AD6)*(1+AD5)+AD7,2)</f>
        <v>0</v>
      </c>
      <c r="AT72" s="11" t="str">
        <f>ROUND(136.14*(1+AD6)*(1+AD5)+AD7,2)</f>
        <v>0</v>
      </c>
      <c r="AU72" s="11" t="str">
        <f>ROUND(143.41*(1+AD6)*(1+AD5)+AD7,2)</f>
        <v>0</v>
      </c>
      <c r="AV72" s="11" t="str">
        <f>ROUND(151.32*(1+AD6)*(1+AD5)+AD7,2)</f>
        <v>0</v>
      </c>
      <c r="AW72" s="11" t="str">
        <f>ROUND(160.04*(1+AD6)*(1+AD5)+AD7,2)</f>
        <v>0</v>
      </c>
      <c r="AX72" s="11" t="str">
        <f>ROUND(167.14*(1+AD6)*(1+AD5)+AD7,2)</f>
        <v>0</v>
      </c>
      <c r="AY72" s="11" t="str">
        <f>ROUND(174.67*(1+AD6)*(1+AD5)+AD7,2)</f>
        <v>0</v>
      </c>
      <c r="AZ72" s="11" t="str">
        <f>ROUND(181.87*(1+AD6)*(1+AD5)+AD7,2)</f>
        <v>0</v>
      </c>
      <c r="BA72" s="11" t="str">
        <f>ROUND(189.25*(1+AD6)*(1+AD5)+AD7,2)</f>
        <v>0</v>
      </c>
      <c r="BB72" s="11" t="str">
        <f>ROUND(198.62*(1+AD6)*(1+AD5)+AD7,2)</f>
        <v>0</v>
      </c>
      <c r="BC72" s="11" t="str">
        <f>ROUND(208.58*(1+AD6)*(1+AD5)+AD7,2)</f>
        <v>0</v>
      </c>
      <c r="BD72" s="11" t="str">
        <f>ROUND(217.78*(1+AD6)*(1+AD5)+AD7,2)</f>
        <v>0</v>
      </c>
      <c r="BE72" t="str">
        <f>ROUND(224.97*(1+AD6)*(1+AD5)+AD7,2)</f>
        <v>0</v>
      </c>
      <c r="BF72" t="str">
        <f>ROUND(232.24*(1+AD6)*(1+AD5)+AD7,2)</f>
        <v>0</v>
      </c>
    </row>
    <row r="73" spans="1:58">
      <c r="A73" s="11"/>
      <c r="B73" s="13"/>
      <c r="C73" s="17">
        <v>1600</v>
      </c>
      <c r="D73" s="11">
        <v>61.26</v>
      </c>
      <c r="E73" s="11">
        <v>68.52</v>
      </c>
      <c r="F73" s="11">
        <v>75.74</v>
      </c>
      <c r="G73" s="11">
        <v>83.04</v>
      </c>
      <c r="H73" s="11">
        <v>91.12</v>
      </c>
      <c r="I73" s="11">
        <v>99.22</v>
      </c>
      <c r="J73" s="11">
        <v>107.4</v>
      </c>
      <c r="K73" s="11">
        <v>114.91</v>
      </c>
      <c r="L73" s="11">
        <v>123.12</v>
      </c>
      <c r="M73" s="11">
        <v>130.62</v>
      </c>
      <c r="N73" s="11">
        <v>138.13</v>
      </c>
      <c r="O73" s="11">
        <v>145.57</v>
      </c>
      <c r="P73" s="11">
        <v>153.62</v>
      </c>
      <c r="Q73" s="11">
        <v>162.49</v>
      </c>
      <c r="R73" s="11">
        <v>169.72</v>
      </c>
      <c r="S73" s="11">
        <v>177.39</v>
      </c>
      <c r="T73" s="11">
        <v>184.74</v>
      </c>
      <c r="U73" s="11">
        <v>192.3</v>
      </c>
      <c r="V73" s="11">
        <v>201.79</v>
      </c>
      <c r="W73" s="11">
        <v>211.92</v>
      </c>
      <c r="X73" s="11">
        <v>221.24</v>
      </c>
      <c r="Y73" s="11">
        <v>228.57</v>
      </c>
      <c r="Z73" s="11">
        <v>235.97</v>
      </c>
      <c r="AA73" s="11"/>
      <c r="AB73" s="11"/>
      <c r="AC73" s="11"/>
      <c r="AD73" s="11"/>
      <c r="AE73" s="11"/>
      <c r="AF73" s="11"/>
      <c r="AG73" s="12"/>
      <c r="AH73" s="13"/>
      <c r="AI73" s="17">
        <v>1600</v>
      </c>
      <c r="AJ73" s="11" t="str">
        <f>ROUND(61.26*(1+AD6)*(1+AD5)+AD7,2)</f>
        <v>0</v>
      </c>
      <c r="AK73" s="11" t="str">
        <f>ROUND(68.52*(1+AD6)*(1+AD5)+AD7,2)</f>
        <v>0</v>
      </c>
      <c r="AL73" s="11" t="str">
        <f>ROUND(75.74*(1+AD6)*(1+AD5)+AD7,2)</f>
        <v>0</v>
      </c>
      <c r="AM73" s="11" t="str">
        <f>ROUND(83.04*(1+AD6)*(1+AD5)+AD7,2)</f>
        <v>0</v>
      </c>
      <c r="AN73" s="11" t="str">
        <f>ROUND(91.12*(1+AD6)*(1+AD5)+AD7,2)</f>
        <v>0</v>
      </c>
      <c r="AO73" s="11" t="str">
        <f>ROUND(99.22*(1+AD6)*(1+AD5)+AD7,2)</f>
        <v>0</v>
      </c>
      <c r="AP73" s="11" t="str">
        <f>ROUND(107.4*(1+AD6)*(1+AD5)+AD7,2)</f>
        <v>0</v>
      </c>
      <c r="AQ73" s="11" t="str">
        <f>ROUND(114.91*(1+AD6)*(1+AD5)+AD7,2)</f>
        <v>0</v>
      </c>
      <c r="AR73" s="11" t="str">
        <f>ROUND(123.12*(1+AD6)*(1+AD5)+AD7,2)</f>
        <v>0</v>
      </c>
      <c r="AS73" s="11" t="str">
        <f>ROUND(130.62*(1+AD6)*(1+AD5)+AD7,2)</f>
        <v>0</v>
      </c>
      <c r="AT73" s="11" t="str">
        <f>ROUND(138.13*(1+AD6)*(1+AD5)+AD7,2)</f>
        <v>0</v>
      </c>
      <c r="AU73" s="11" t="str">
        <f>ROUND(145.57*(1+AD6)*(1+AD5)+AD7,2)</f>
        <v>0</v>
      </c>
      <c r="AV73" s="11" t="str">
        <f>ROUND(153.62*(1+AD6)*(1+AD5)+AD7,2)</f>
        <v>0</v>
      </c>
      <c r="AW73" s="11" t="str">
        <f>ROUND(162.49*(1+AD6)*(1+AD5)+AD7,2)</f>
        <v>0</v>
      </c>
      <c r="AX73" s="11" t="str">
        <f>ROUND(169.72*(1+AD6)*(1+AD5)+AD7,2)</f>
        <v>0</v>
      </c>
      <c r="AY73" s="11" t="str">
        <f>ROUND(177.39*(1+AD6)*(1+AD5)+AD7,2)</f>
        <v>0</v>
      </c>
      <c r="AZ73" s="11" t="str">
        <f>ROUND(184.74*(1+AD6)*(1+AD5)+AD7,2)</f>
        <v>0</v>
      </c>
      <c r="BA73" s="11" t="str">
        <f>ROUND(192.3*(1+AD6)*(1+AD5)+AD7,2)</f>
        <v>0</v>
      </c>
      <c r="BB73" s="11" t="str">
        <f>ROUND(201.79*(1+AD6)*(1+AD5)+AD7,2)</f>
        <v>0</v>
      </c>
      <c r="BC73" s="11" t="str">
        <f>ROUND(211.92*(1+AD6)*(1+AD5)+AD7,2)</f>
        <v>0</v>
      </c>
      <c r="BD73" s="11" t="str">
        <f>ROUND(221.24*(1+AD6)*(1+AD5)+AD7,2)</f>
        <v>0</v>
      </c>
      <c r="BE73" t="str">
        <f>ROUND(228.57*(1+AD6)*(1+AD5)+AD7,2)</f>
        <v>0</v>
      </c>
      <c r="BF73" t="str">
        <f>ROUND(235.97*(1+AD6)*(1+AD5)+AD7,2)</f>
        <v>0</v>
      </c>
    </row>
    <row r="74" spans="1:58">
      <c r="A74" s="11"/>
      <c r="B74" s="13"/>
      <c r="C74" s="17">
        <v>1700</v>
      </c>
      <c r="D74" s="11">
        <v>61.78</v>
      </c>
      <c r="E74" s="11">
        <v>69.19</v>
      </c>
      <c r="F74" s="11">
        <v>76.57</v>
      </c>
      <c r="G74" s="11">
        <v>84.03</v>
      </c>
      <c r="H74" s="11">
        <v>92.26</v>
      </c>
      <c r="I74" s="11">
        <v>100.48</v>
      </c>
      <c r="J74" s="11">
        <v>108.77</v>
      </c>
      <c r="K74" s="11">
        <v>116.47</v>
      </c>
      <c r="L74" s="11">
        <v>124.86</v>
      </c>
      <c r="M74" s="11">
        <v>132.48</v>
      </c>
      <c r="N74" s="11">
        <v>140.13</v>
      </c>
      <c r="O74" s="11">
        <v>147.71</v>
      </c>
      <c r="P74" s="11">
        <v>155.91</v>
      </c>
      <c r="Q74" s="11">
        <v>164.91</v>
      </c>
      <c r="R74" s="11">
        <v>172.32</v>
      </c>
      <c r="S74" s="11">
        <v>180.14</v>
      </c>
      <c r="T74" s="11">
        <v>187.64</v>
      </c>
      <c r="U74" s="11">
        <v>195.33</v>
      </c>
      <c r="V74" s="11">
        <v>204.96</v>
      </c>
      <c r="W74" s="11">
        <v>215.23</v>
      </c>
      <c r="X74" s="11">
        <v>224.72</v>
      </c>
      <c r="Y74" s="11">
        <v>232.19</v>
      </c>
      <c r="Z74" s="11">
        <v>239.72</v>
      </c>
      <c r="AA74" s="11"/>
      <c r="AB74" s="11"/>
      <c r="AC74" s="11"/>
      <c r="AD74" s="11"/>
      <c r="AE74" s="11"/>
      <c r="AF74" s="11"/>
      <c r="AG74" s="12"/>
      <c r="AH74" s="13"/>
      <c r="AI74" s="17">
        <v>1700</v>
      </c>
      <c r="AJ74" s="11" t="str">
        <f>ROUND(61.78*(1+AD6)*(1+AD5)+AD7,2)</f>
        <v>0</v>
      </c>
      <c r="AK74" s="11" t="str">
        <f>ROUND(69.19*(1+AD6)*(1+AD5)+AD7,2)</f>
        <v>0</v>
      </c>
      <c r="AL74" s="11" t="str">
        <f>ROUND(76.57*(1+AD6)*(1+AD5)+AD7,2)</f>
        <v>0</v>
      </c>
      <c r="AM74" s="11" t="str">
        <f>ROUND(84.03*(1+AD6)*(1+AD5)+AD7,2)</f>
        <v>0</v>
      </c>
      <c r="AN74" s="11" t="str">
        <f>ROUND(92.26*(1+AD6)*(1+AD5)+AD7,2)</f>
        <v>0</v>
      </c>
      <c r="AO74" s="11" t="str">
        <f>ROUND(100.48*(1+AD6)*(1+AD5)+AD7,2)</f>
        <v>0</v>
      </c>
      <c r="AP74" s="11" t="str">
        <f>ROUND(108.77*(1+AD6)*(1+AD5)+AD7,2)</f>
        <v>0</v>
      </c>
      <c r="AQ74" s="11" t="str">
        <f>ROUND(116.47*(1+AD6)*(1+AD5)+AD7,2)</f>
        <v>0</v>
      </c>
      <c r="AR74" s="11" t="str">
        <f>ROUND(124.86*(1+AD6)*(1+AD5)+AD7,2)</f>
        <v>0</v>
      </c>
      <c r="AS74" s="11" t="str">
        <f>ROUND(132.48*(1+AD6)*(1+AD5)+AD7,2)</f>
        <v>0</v>
      </c>
      <c r="AT74" s="11" t="str">
        <f>ROUND(140.13*(1+AD6)*(1+AD5)+AD7,2)</f>
        <v>0</v>
      </c>
      <c r="AU74" s="11" t="str">
        <f>ROUND(147.71*(1+AD6)*(1+AD5)+AD7,2)</f>
        <v>0</v>
      </c>
      <c r="AV74" s="11" t="str">
        <f>ROUND(155.91*(1+AD6)*(1+AD5)+AD7,2)</f>
        <v>0</v>
      </c>
      <c r="AW74" s="11" t="str">
        <f>ROUND(164.91*(1+AD6)*(1+AD5)+AD7,2)</f>
        <v>0</v>
      </c>
      <c r="AX74" s="11" t="str">
        <f>ROUND(172.32*(1+AD6)*(1+AD5)+AD7,2)</f>
        <v>0</v>
      </c>
      <c r="AY74" s="11" t="str">
        <f>ROUND(180.14*(1+AD6)*(1+AD5)+AD7,2)</f>
        <v>0</v>
      </c>
      <c r="AZ74" s="11" t="str">
        <f>ROUND(187.64*(1+AD6)*(1+AD5)+AD7,2)</f>
        <v>0</v>
      </c>
      <c r="BA74" s="11" t="str">
        <f>ROUND(195.33*(1+AD6)*(1+AD5)+AD7,2)</f>
        <v>0</v>
      </c>
      <c r="BB74" s="11" t="str">
        <f>ROUND(204.96*(1+AD6)*(1+AD5)+AD7,2)</f>
        <v>0</v>
      </c>
      <c r="BC74" s="11" t="str">
        <f>ROUND(215.23*(1+AD6)*(1+AD5)+AD7,2)</f>
        <v>0</v>
      </c>
      <c r="BD74" s="11" t="str">
        <f>ROUND(224.72*(1+AD6)*(1+AD5)+AD7,2)</f>
        <v>0</v>
      </c>
      <c r="BE74" t="str">
        <f>ROUND(232.19*(1+AD6)*(1+AD5)+AD7,2)</f>
        <v>0</v>
      </c>
      <c r="BF74" t="str">
        <f>ROUND(239.72*(1+AD6)*(1+AD5)+AD7,2)</f>
        <v>0</v>
      </c>
    </row>
    <row r="75" spans="1:58">
      <c r="A75" s="11"/>
      <c r="B75" s="13"/>
      <c r="C75" s="17">
        <v>1800</v>
      </c>
      <c r="D75" s="11">
        <v>62.28</v>
      </c>
      <c r="E75" s="11">
        <v>69.84</v>
      </c>
      <c r="F75" s="11">
        <v>77.38</v>
      </c>
      <c r="G75" s="11">
        <v>85.01</v>
      </c>
      <c r="H75" s="11">
        <v>93.34</v>
      </c>
      <c r="I75" s="11">
        <v>101.74</v>
      </c>
      <c r="J75" s="11">
        <v>110.2</v>
      </c>
      <c r="K75" s="11">
        <v>118.04</v>
      </c>
      <c r="L75" s="11">
        <v>126.55</v>
      </c>
      <c r="M75" s="11">
        <v>134.33</v>
      </c>
      <c r="N75" s="11">
        <v>142.1</v>
      </c>
      <c r="O75" s="11">
        <v>149.86</v>
      </c>
      <c r="P75" s="11">
        <v>158.19</v>
      </c>
      <c r="Q75" s="11">
        <v>167.35</v>
      </c>
      <c r="R75" s="11">
        <v>174.92</v>
      </c>
      <c r="S75" s="11">
        <v>182.86</v>
      </c>
      <c r="T75" s="11">
        <v>190.52</v>
      </c>
      <c r="U75" s="11">
        <v>198.35</v>
      </c>
      <c r="V75" s="11">
        <v>208.13</v>
      </c>
      <c r="W75" s="11">
        <v>218.55</v>
      </c>
      <c r="X75" s="11">
        <v>228.18</v>
      </c>
      <c r="Y75" s="11">
        <v>235.81</v>
      </c>
      <c r="Z75" s="11">
        <v>243.43</v>
      </c>
      <c r="AA75" s="11"/>
      <c r="AB75" s="11"/>
      <c r="AC75" s="11"/>
      <c r="AD75" s="11"/>
      <c r="AE75" s="11"/>
      <c r="AF75" s="11"/>
      <c r="AG75" s="12"/>
      <c r="AH75" s="13"/>
      <c r="AI75" s="17">
        <v>1800</v>
      </c>
      <c r="AJ75" s="11" t="str">
        <f>ROUND(62.28*(1+AD6)*(1+AD5)+AD7,2)</f>
        <v>0</v>
      </c>
      <c r="AK75" s="11" t="str">
        <f>ROUND(69.84*(1+AD6)*(1+AD5)+AD7,2)</f>
        <v>0</v>
      </c>
      <c r="AL75" s="11" t="str">
        <f>ROUND(77.38*(1+AD6)*(1+AD5)+AD7,2)</f>
        <v>0</v>
      </c>
      <c r="AM75" s="11" t="str">
        <f>ROUND(85.01*(1+AD6)*(1+AD5)+AD7,2)</f>
        <v>0</v>
      </c>
      <c r="AN75" s="11" t="str">
        <f>ROUND(93.34*(1+AD6)*(1+AD5)+AD7,2)</f>
        <v>0</v>
      </c>
      <c r="AO75" s="11" t="str">
        <f>ROUND(101.74*(1+AD6)*(1+AD5)+AD7,2)</f>
        <v>0</v>
      </c>
      <c r="AP75" s="11" t="str">
        <f>ROUND(110.2*(1+AD6)*(1+AD5)+AD7,2)</f>
        <v>0</v>
      </c>
      <c r="AQ75" s="11" t="str">
        <f>ROUND(118.04*(1+AD6)*(1+AD5)+AD7,2)</f>
        <v>0</v>
      </c>
      <c r="AR75" s="11" t="str">
        <f>ROUND(126.55*(1+AD6)*(1+AD5)+AD7,2)</f>
        <v>0</v>
      </c>
      <c r="AS75" s="11" t="str">
        <f>ROUND(134.33*(1+AD6)*(1+AD5)+AD7,2)</f>
        <v>0</v>
      </c>
      <c r="AT75" s="11" t="str">
        <f>ROUND(142.1*(1+AD6)*(1+AD5)+AD7,2)</f>
        <v>0</v>
      </c>
      <c r="AU75" s="11" t="str">
        <f>ROUND(149.86*(1+AD6)*(1+AD5)+AD7,2)</f>
        <v>0</v>
      </c>
      <c r="AV75" s="11" t="str">
        <f>ROUND(158.19*(1+AD6)*(1+AD5)+AD7,2)</f>
        <v>0</v>
      </c>
      <c r="AW75" s="11" t="str">
        <f>ROUND(167.35*(1+AD6)*(1+AD5)+AD7,2)</f>
        <v>0</v>
      </c>
      <c r="AX75" s="11" t="str">
        <f>ROUND(174.92*(1+AD6)*(1+AD5)+AD7,2)</f>
        <v>0</v>
      </c>
      <c r="AY75" s="11" t="str">
        <f>ROUND(182.86*(1+AD6)*(1+AD5)+AD7,2)</f>
        <v>0</v>
      </c>
      <c r="AZ75" s="11" t="str">
        <f>ROUND(190.52*(1+AD6)*(1+AD5)+AD7,2)</f>
        <v>0</v>
      </c>
      <c r="BA75" s="11" t="str">
        <f>ROUND(198.35*(1+AD6)*(1+AD5)+AD7,2)</f>
        <v>0</v>
      </c>
      <c r="BB75" s="11" t="str">
        <f>ROUND(208.13*(1+AD6)*(1+AD5)+AD7,2)</f>
        <v>0</v>
      </c>
      <c r="BC75" s="11" t="str">
        <f>ROUND(218.55*(1+AD6)*(1+AD5)+AD7,2)</f>
        <v>0</v>
      </c>
      <c r="BD75" s="11" t="str">
        <f>ROUND(228.18*(1+AD6)*(1+AD5)+AD7,2)</f>
        <v>0</v>
      </c>
      <c r="BE75" t="str">
        <f>ROUND(235.81*(1+AD6)*(1+AD5)+AD7,2)</f>
        <v>0</v>
      </c>
      <c r="BF75" t="str">
        <f>ROUND(243.43*(1+AD6)*(1+AD5)+AD7,2)</f>
        <v>0</v>
      </c>
    </row>
    <row r="76" spans="1:58">
      <c r="A76" s="11"/>
      <c r="B76" s="13"/>
      <c r="C76" s="17">
        <v>1900</v>
      </c>
      <c r="D76" s="11">
        <v>62.81</v>
      </c>
      <c r="E76" s="11">
        <v>70.52</v>
      </c>
      <c r="F76" s="11">
        <v>78.18</v>
      </c>
      <c r="G76" s="11">
        <v>85.95</v>
      </c>
      <c r="H76" s="11">
        <v>94.47</v>
      </c>
      <c r="I76" s="11">
        <v>102.99</v>
      </c>
      <c r="J76" s="11">
        <v>111.6</v>
      </c>
      <c r="K76" s="11">
        <v>119.54</v>
      </c>
      <c r="L76" s="11">
        <v>128.25</v>
      </c>
      <c r="M76" s="11">
        <v>136.19</v>
      </c>
      <c r="N76" s="11">
        <v>144.11</v>
      </c>
      <c r="O76" s="11">
        <v>152</v>
      </c>
      <c r="P76" s="11">
        <v>160.47</v>
      </c>
      <c r="Q76" s="11">
        <v>169.77</v>
      </c>
      <c r="R76" s="11">
        <v>177.47</v>
      </c>
      <c r="S76" s="11">
        <v>185.59</v>
      </c>
      <c r="T76" s="11">
        <v>193.4</v>
      </c>
      <c r="U76" s="11">
        <v>201.36</v>
      </c>
      <c r="V76" s="11">
        <v>211.34</v>
      </c>
      <c r="W76" s="11">
        <v>221.9</v>
      </c>
      <c r="X76" s="11">
        <v>231.64</v>
      </c>
      <c r="Y76" s="11">
        <v>239.43</v>
      </c>
      <c r="Z76" s="11">
        <v>247.16</v>
      </c>
      <c r="AA76" s="11"/>
      <c r="AB76" s="11"/>
      <c r="AC76" s="11"/>
      <c r="AD76" s="11"/>
      <c r="AE76" s="11"/>
      <c r="AF76" s="11"/>
      <c r="AG76" s="12"/>
      <c r="AH76" s="13"/>
      <c r="AI76" s="17">
        <v>1900</v>
      </c>
      <c r="AJ76" s="11" t="str">
        <f>ROUND(62.81*(1+AD6)*(1+AD5)+AD7,2)</f>
        <v>0</v>
      </c>
      <c r="AK76" s="11" t="str">
        <f>ROUND(70.52*(1+AD6)*(1+AD5)+AD7,2)</f>
        <v>0</v>
      </c>
      <c r="AL76" s="11" t="str">
        <f>ROUND(78.18*(1+AD6)*(1+AD5)+AD7,2)</f>
        <v>0</v>
      </c>
      <c r="AM76" s="11" t="str">
        <f>ROUND(85.95*(1+AD6)*(1+AD5)+AD7,2)</f>
        <v>0</v>
      </c>
      <c r="AN76" s="11" t="str">
        <f>ROUND(94.47*(1+AD6)*(1+AD5)+AD7,2)</f>
        <v>0</v>
      </c>
      <c r="AO76" s="11" t="str">
        <f>ROUND(102.99*(1+AD6)*(1+AD5)+AD7,2)</f>
        <v>0</v>
      </c>
      <c r="AP76" s="11" t="str">
        <f>ROUND(111.6*(1+AD6)*(1+AD5)+AD7,2)</f>
        <v>0</v>
      </c>
      <c r="AQ76" s="11" t="str">
        <f>ROUND(119.54*(1+AD6)*(1+AD5)+AD7,2)</f>
        <v>0</v>
      </c>
      <c r="AR76" s="11" t="str">
        <f>ROUND(128.25*(1+AD6)*(1+AD5)+AD7,2)</f>
        <v>0</v>
      </c>
      <c r="AS76" s="11" t="str">
        <f>ROUND(136.19*(1+AD6)*(1+AD5)+AD7,2)</f>
        <v>0</v>
      </c>
      <c r="AT76" s="11" t="str">
        <f>ROUND(144.11*(1+AD6)*(1+AD5)+AD7,2)</f>
        <v>0</v>
      </c>
      <c r="AU76" s="11" t="str">
        <f>ROUND(152*(1+AD6)*(1+AD5)+AD7,2)</f>
        <v>0</v>
      </c>
      <c r="AV76" s="11" t="str">
        <f>ROUND(160.47*(1+AD6)*(1+AD5)+AD7,2)</f>
        <v>0</v>
      </c>
      <c r="AW76" s="11" t="str">
        <f>ROUND(169.77*(1+AD6)*(1+AD5)+AD7,2)</f>
        <v>0</v>
      </c>
      <c r="AX76" s="11" t="str">
        <f>ROUND(177.47*(1+AD6)*(1+AD5)+AD7,2)</f>
        <v>0</v>
      </c>
      <c r="AY76" s="11" t="str">
        <f>ROUND(185.59*(1+AD6)*(1+AD5)+AD7,2)</f>
        <v>0</v>
      </c>
      <c r="AZ76" s="11" t="str">
        <f>ROUND(193.4*(1+AD6)*(1+AD5)+AD7,2)</f>
        <v>0</v>
      </c>
      <c r="BA76" s="11" t="str">
        <f>ROUND(201.36*(1+AD6)*(1+AD5)+AD7,2)</f>
        <v>0</v>
      </c>
      <c r="BB76" s="11" t="str">
        <f>ROUND(211.34*(1+AD6)*(1+AD5)+AD7,2)</f>
        <v>0</v>
      </c>
      <c r="BC76" s="11" t="str">
        <f>ROUND(221.9*(1+AD6)*(1+AD5)+AD7,2)</f>
        <v>0</v>
      </c>
      <c r="BD76" s="11" t="str">
        <f>ROUND(231.64*(1+AD6)*(1+AD5)+AD7,2)</f>
        <v>0</v>
      </c>
      <c r="BE76" t="str">
        <f>ROUND(239.43*(1+AD6)*(1+AD5)+AD7,2)</f>
        <v>0</v>
      </c>
      <c r="BF76" t="str">
        <f>ROUND(247.16*(1+AD6)*(1+AD5)+AD7,2)</f>
        <v>0</v>
      </c>
    </row>
    <row r="77" spans="1:58">
      <c r="A77" s="11"/>
      <c r="B77" s="13"/>
      <c r="C77" s="17">
        <v>2000</v>
      </c>
      <c r="D77" s="11">
        <v>63.33</v>
      </c>
      <c r="E77" s="11">
        <v>71.18</v>
      </c>
      <c r="F77" s="11">
        <v>79.01</v>
      </c>
      <c r="G77" s="11">
        <v>86.9</v>
      </c>
      <c r="H77" s="11">
        <v>95.59</v>
      </c>
      <c r="I77" s="11">
        <v>104.26</v>
      </c>
      <c r="J77" s="11">
        <v>112.99</v>
      </c>
      <c r="K77" s="11">
        <v>121.15</v>
      </c>
      <c r="L77" s="11">
        <v>129.95</v>
      </c>
      <c r="M77" s="11">
        <v>138.03</v>
      </c>
      <c r="N77" s="11">
        <v>146.11</v>
      </c>
      <c r="O77" s="11">
        <v>154.15</v>
      </c>
      <c r="P77" s="11">
        <v>162.77</v>
      </c>
      <c r="Q77" s="11">
        <v>172.26</v>
      </c>
      <c r="R77" s="11">
        <v>180.09</v>
      </c>
      <c r="S77" s="11">
        <v>188.32</v>
      </c>
      <c r="T77" s="11">
        <v>196.27</v>
      </c>
      <c r="U77" s="11">
        <v>204.42</v>
      </c>
      <c r="V77" s="11">
        <v>214.51</v>
      </c>
      <c r="W77" s="11">
        <v>225.19</v>
      </c>
      <c r="X77" s="11">
        <v>235.12</v>
      </c>
      <c r="Y77" s="11">
        <v>243.05</v>
      </c>
      <c r="Z77" s="11">
        <v>250.89</v>
      </c>
      <c r="AA77" s="11"/>
      <c r="AB77" s="11"/>
      <c r="AC77" s="11"/>
      <c r="AD77" s="11"/>
      <c r="AE77" s="11"/>
      <c r="AF77" s="11"/>
      <c r="AG77" s="12"/>
      <c r="AH77" s="13"/>
      <c r="AI77" s="17">
        <v>2000</v>
      </c>
      <c r="AJ77" s="11" t="str">
        <f>ROUND(63.33*(1+AD6)*(1+AD5)+AD7,2)</f>
        <v>0</v>
      </c>
      <c r="AK77" s="11" t="str">
        <f>ROUND(71.18*(1+AD6)*(1+AD5)+AD7,2)</f>
        <v>0</v>
      </c>
      <c r="AL77" s="11" t="str">
        <f>ROUND(79.01*(1+AD6)*(1+AD5)+AD7,2)</f>
        <v>0</v>
      </c>
      <c r="AM77" s="11" t="str">
        <f>ROUND(86.9*(1+AD6)*(1+AD5)+AD7,2)</f>
        <v>0</v>
      </c>
      <c r="AN77" s="11" t="str">
        <f>ROUND(95.59*(1+AD6)*(1+AD5)+AD7,2)</f>
        <v>0</v>
      </c>
      <c r="AO77" s="11" t="str">
        <f>ROUND(104.26*(1+AD6)*(1+AD5)+AD7,2)</f>
        <v>0</v>
      </c>
      <c r="AP77" s="11" t="str">
        <f>ROUND(112.99*(1+AD6)*(1+AD5)+AD7,2)</f>
        <v>0</v>
      </c>
      <c r="AQ77" s="11" t="str">
        <f>ROUND(121.15*(1+AD6)*(1+AD5)+AD7,2)</f>
        <v>0</v>
      </c>
      <c r="AR77" s="11" t="str">
        <f>ROUND(129.95*(1+AD6)*(1+AD5)+AD7,2)</f>
        <v>0</v>
      </c>
      <c r="AS77" s="11" t="str">
        <f>ROUND(138.03*(1+AD6)*(1+AD5)+AD7,2)</f>
        <v>0</v>
      </c>
      <c r="AT77" s="11" t="str">
        <f>ROUND(146.11*(1+AD6)*(1+AD5)+AD7,2)</f>
        <v>0</v>
      </c>
      <c r="AU77" s="11" t="str">
        <f>ROUND(154.15*(1+AD6)*(1+AD5)+AD7,2)</f>
        <v>0</v>
      </c>
      <c r="AV77" s="11" t="str">
        <f>ROUND(162.77*(1+AD6)*(1+AD5)+AD7,2)</f>
        <v>0</v>
      </c>
      <c r="AW77" s="11" t="str">
        <f>ROUND(172.26*(1+AD6)*(1+AD5)+AD7,2)</f>
        <v>0</v>
      </c>
      <c r="AX77" s="11" t="str">
        <f>ROUND(180.09*(1+AD6)*(1+AD5)+AD7,2)</f>
        <v>0</v>
      </c>
      <c r="AY77" s="11" t="str">
        <f>ROUND(188.32*(1+AD6)*(1+AD5)+AD7,2)</f>
        <v>0</v>
      </c>
      <c r="AZ77" s="11" t="str">
        <f>ROUND(196.27*(1+AD6)*(1+AD5)+AD7,2)</f>
        <v>0</v>
      </c>
      <c r="BA77" s="11" t="str">
        <f>ROUND(204.42*(1+AD6)*(1+AD5)+AD7,2)</f>
        <v>0</v>
      </c>
      <c r="BB77" s="11" t="str">
        <f>ROUND(214.51*(1+AD6)*(1+AD5)+AD7,2)</f>
        <v>0</v>
      </c>
      <c r="BC77" s="11" t="str">
        <f>ROUND(225.19*(1+AD6)*(1+AD5)+AD7,2)</f>
        <v>0</v>
      </c>
      <c r="BD77" s="11" t="str">
        <f>ROUND(235.12*(1+AD6)*(1+AD5)+AD7,2)</f>
        <v>0</v>
      </c>
      <c r="BE77" t="str">
        <f>ROUND(243.05*(1+AD6)*(1+AD5)+AD7,2)</f>
        <v>0</v>
      </c>
      <c r="BF77" t="str">
        <f>ROUND(250.89*(1+AD6)*(1+AD5)+AD7,2)</f>
        <v>0</v>
      </c>
    </row>
    <row r="78" spans="1:58">
      <c r="A78" s="11"/>
      <c r="B78" s="13"/>
      <c r="C78" s="17">
        <v>2100</v>
      </c>
      <c r="D78" s="11">
        <v>63.86</v>
      </c>
      <c r="E78" s="11">
        <v>71.87</v>
      </c>
      <c r="F78" s="11">
        <v>79.83</v>
      </c>
      <c r="G78" s="11">
        <v>87.86</v>
      </c>
      <c r="H78" s="11">
        <v>96.69</v>
      </c>
      <c r="I78" s="11">
        <v>105.51</v>
      </c>
      <c r="J78" s="11">
        <v>114.41</v>
      </c>
      <c r="K78" s="11">
        <v>122.71</v>
      </c>
      <c r="L78" s="11">
        <v>131.64</v>
      </c>
      <c r="M78" s="11">
        <v>139.85</v>
      </c>
      <c r="N78" s="11">
        <v>148.11</v>
      </c>
      <c r="O78" s="11">
        <v>156.29</v>
      </c>
      <c r="P78" s="11">
        <v>165.07</v>
      </c>
      <c r="Q78" s="11">
        <v>174.68</v>
      </c>
      <c r="R78" s="11">
        <v>182.68</v>
      </c>
      <c r="S78" s="11">
        <v>191.06</v>
      </c>
      <c r="T78" s="11">
        <v>199.15</v>
      </c>
      <c r="U78" s="11">
        <v>207.45</v>
      </c>
      <c r="V78" s="11">
        <v>217.67</v>
      </c>
      <c r="W78" s="11">
        <v>228.53</v>
      </c>
      <c r="X78" s="11">
        <v>238.59</v>
      </c>
      <c r="Y78" s="11">
        <v>246.69</v>
      </c>
      <c r="Z78" s="11">
        <v>254.63</v>
      </c>
      <c r="AA78" s="11"/>
      <c r="AB78" s="11"/>
      <c r="AC78" s="11"/>
      <c r="AD78" s="11"/>
      <c r="AE78" s="11"/>
      <c r="AF78" s="11"/>
      <c r="AG78" s="12"/>
      <c r="AH78" s="13"/>
      <c r="AI78" s="17">
        <v>2100</v>
      </c>
      <c r="AJ78" s="11" t="str">
        <f>ROUND(63.86*(1+AD6)*(1+AD5)+AD7,2)</f>
        <v>0</v>
      </c>
      <c r="AK78" s="11" t="str">
        <f>ROUND(71.87*(1+AD6)*(1+AD5)+AD7,2)</f>
        <v>0</v>
      </c>
      <c r="AL78" s="11" t="str">
        <f>ROUND(79.83*(1+AD6)*(1+AD5)+AD7,2)</f>
        <v>0</v>
      </c>
      <c r="AM78" s="11" t="str">
        <f>ROUND(87.86*(1+AD6)*(1+AD5)+AD7,2)</f>
        <v>0</v>
      </c>
      <c r="AN78" s="11" t="str">
        <f>ROUND(96.69*(1+AD6)*(1+AD5)+AD7,2)</f>
        <v>0</v>
      </c>
      <c r="AO78" s="11" t="str">
        <f>ROUND(105.51*(1+AD6)*(1+AD5)+AD7,2)</f>
        <v>0</v>
      </c>
      <c r="AP78" s="11" t="str">
        <f>ROUND(114.41*(1+AD6)*(1+AD5)+AD7,2)</f>
        <v>0</v>
      </c>
      <c r="AQ78" s="11" t="str">
        <f>ROUND(122.71*(1+AD6)*(1+AD5)+AD7,2)</f>
        <v>0</v>
      </c>
      <c r="AR78" s="11" t="str">
        <f>ROUND(131.64*(1+AD6)*(1+AD5)+AD7,2)</f>
        <v>0</v>
      </c>
      <c r="AS78" s="11" t="str">
        <f>ROUND(139.85*(1+AD6)*(1+AD5)+AD7,2)</f>
        <v>0</v>
      </c>
      <c r="AT78" s="11" t="str">
        <f>ROUND(148.11*(1+AD6)*(1+AD5)+AD7,2)</f>
        <v>0</v>
      </c>
      <c r="AU78" s="11" t="str">
        <f>ROUND(156.29*(1+AD6)*(1+AD5)+AD7,2)</f>
        <v>0</v>
      </c>
      <c r="AV78" s="11" t="str">
        <f>ROUND(165.07*(1+AD6)*(1+AD5)+AD7,2)</f>
        <v>0</v>
      </c>
      <c r="AW78" s="11" t="str">
        <f>ROUND(174.68*(1+AD6)*(1+AD5)+AD7,2)</f>
        <v>0</v>
      </c>
      <c r="AX78" s="11" t="str">
        <f>ROUND(182.68*(1+AD6)*(1+AD5)+AD7,2)</f>
        <v>0</v>
      </c>
      <c r="AY78" s="11" t="str">
        <f>ROUND(191.06*(1+AD6)*(1+AD5)+AD7,2)</f>
        <v>0</v>
      </c>
      <c r="AZ78" s="11" t="str">
        <f>ROUND(199.15*(1+AD6)*(1+AD5)+AD7,2)</f>
        <v>0</v>
      </c>
      <c r="BA78" s="11" t="str">
        <f>ROUND(207.45*(1+AD6)*(1+AD5)+AD7,2)</f>
        <v>0</v>
      </c>
      <c r="BB78" s="11" t="str">
        <f>ROUND(217.67*(1+AD6)*(1+AD5)+AD7,2)</f>
        <v>0</v>
      </c>
      <c r="BC78" s="11" t="str">
        <f>ROUND(228.53*(1+AD6)*(1+AD5)+AD7,2)</f>
        <v>0</v>
      </c>
      <c r="BD78" s="11" t="str">
        <f>ROUND(238.59*(1+AD6)*(1+AD5)+AD7,2)</f>
        <v>0</v>
      </c>
      <c r="BE78" t="str">
        <f>ROUND(246.69*(1+AD6)*(1+AD5)+AD7,2)</f>
        <v>0</v>
      </c>
      <c r="BF78" t="str">
        <f>ROUND(254.63*(1+AD6)*(1+AD5)+AD7,2)</f>
        <v>0</v>
      </c>
    </row>
    <row r="79" spans="1:58">
      <c r="A79" s="11"/>
      <c r="B79" s="13"/>
      <c r="C79" s="17">
        <v>2200</v>
      </c>
      <c r="D79" s="11">
        <v>64.36</v>
      </c>
      <c r="E79" s="11">
        <v>72.52</v>
      </c>
      <c r="F79" s="11">
        <v>80.63</v>
      </c>
      <c r="G79" s="11">
        <v>88.84</v>
      </c>
      <c r="H79" s="11">
        <v>97.81</v>
      </c>
      <c r="I79" s="11">
        <v>106.76</v>
      </c>
      <c r="J79" s="11">
        <v>115.97</v>
      </c>
      <c r="K79" s="11">
        <v>124.23</v>
      </c>
      <c r="L79" s="11">
        <v>133.35</v>
      </c>
      <c r="M79" s="11">
        <v>141.71</v>
      </c>
      <c r="N79" s="11">
        <v>150.1</v>
      </c>
      <c r="O79" s="11">
        <v>158.42</v>
      </c>
      <c r="P79" s="11">
        <v>167.38</v>
      </c>
      <c r="Q79" s="11">
        <v>177.13</v>
      </c>
      <c r="R79" s="11">
        <v>185.25</v>
      </c>
      <c r="S79" s="11">
        <v>193.82</v>
      </c>
      <c r="T79" s="11">
        <v>202.04</v>
      </c>
      <c r="U79" s="11">
        <v>210.48</v>
      </c>
      <c r="V79" s="11">
        <v>220.85</v>
      </c>
      <c r="W79" s="11">
        <v>231.86</v>
      </c>
      <c r="X79" s="11">
        <v>242.07</v>
      </c>
      <c r="Y79" s="11">
        <v>250.3</v>
      </c>
      <c r="Z79" s="11">
        <v>258.37</v>
      </c>
      <c r="AA79" s="11"/>
      <c r="AB79" s="11"/>
      <c r="AC79" s="11"/>
      <c r="AD79" s="11"/>
      <c r="AE79" s="11"/>
      <c r="AF79" s="11"/>
      <c r="AG79" s="12"/>
      <c r="AH79" s="13"/>
      <c r="AI79" s="17">
        <v>2200</v>
      </c>
      <c r="AJ79" s="11" t="str">
        <f>ROUND(64.36*(1+AD6)*(1+AD5)+AD7,2)</f>
        <v>0</v>
      </c>
      <c r="AK79" s="11" t="str">
        <f>ROUND(72.52*(1+AD6)*(1+AD5)+AD7,2)</f>
        <v>0</v>
      </c>
      <c r="AL79" s="11" t="str">
        <f>ROUND(80.63*(1+AD6)*(1+AD5)+AD7,2)</f>
        <v>0</v>
      </c>
      <c r="AM79" s="11" t="str">
        <f>ROUND(88.84*(1+AD6)*(1+AD5)+AD7,2)</f>
        <v>0</v>
      </c>
      <c r="AN79" s="11" t="str">
        <f>ROUND(97.81*(1+AD6)*(1+AD5)+AD7,2)</f>
        <v>0</v>
      </c>
      <c r="AO79" s="11" t="str">
        <f>ROUND(106.76*(1+AD6)*(1+AD5)+AD7,2)</f>
        <v>0</v>
      </c>
      <c r="AP79" s="11" t="str">
        <f>ROUND(115.97*(1+AD6)*(1+AD5)+AD7,2)</f>
        <v>0</v>
      </c>
      <c r="AQ79" s="11" t="str">
        <f>ROUND(124.23*(1+AD6)*(1+AD5)+AD7,2)</f>
        <v>0</v>
      </c>
      <c r="AR79" s="11" t="str">
        <f>ROUND(133.35*(1+AD6)*(1+AD5)+AD7,2)</f>
        <v>0</v>
      </c>
      <c r="AS79" s="11" t="str">
        <f>ROUND(141.71*(1+AD6)*(1+AD5)+AD7,2)</f>
        <v>0</v>
      </c>
      <c r="AT79" s="11" t="str">
        <f>ROUND(150.1*(1+AD6)*(1+AD5)+AD7,2)</f>
        <v>0</v>
      </c>
      <c r="AU79" s="11" t="str">
        <f>ROUND(158.42*(1+AD6)*(1+AD5)+AD7,2)</f>
        <v>0</v>
      </c>
      <c r="AV79" s="11" t="str">
        <f>ROUND(167.38*(1+AD6)*(1+AD5)+AD7,2)</f>
        <v>0</v>
      </c>
      <c r="AW79" s="11" t="str">
        <f>ROUND(177.13*(1+AD6)*(1+AD5)+AD7,2)</f>
        <v>0</v>
      </c>
      <c r="AX79" s="11" t="str">
        <f>ROUND(185.25*(1+AD6)*(1+AD5)+AD7,2)</f>
        <v>0</v>
      </c>
      <c r="AY79" s="11" t="str">
        <f>ROUND(193.82*(1+AD6)*(1+AD5)+AD7,2)</f>
        <v>0</v>
      </c>
      <c r="AZ79" s="11" t="str">
        <f>ROUND(202.04*(1+AD6)*(1+AD5)+AD7,2)</f>
        <v>0</v>
      </c>
      <c r="BA79" s="11" t="str">
        <f>ROUND(210.48*(1+AD6)*(1+AD5)+AD7,2)</f>
        <v>0</v>
      </c>
      <c r="BB79" s="11" t="str">
        <f>ROUND(220.85*(1+AD6)*(1+AD5)+AD7,2)</f>
        <v>0</v>
      </c>
      <c r="BC79" s="11" t="str">
        <f>ROUND(231.86*(1+AD6)*(1+AD5)+AD7,2)</f>
        <v>0</v>
      </c>
      <c r="BD79" s="11" t="str">
        <f>ROUND(242.07*(1+AD6)*(1+AD5)+AD7,2)</f>
        <v>0</v>
      </c>
      <c r="BE79" t="str">
        <f>ROUND(250.3*(1+AD6)*(1+AD5)+AD7,2)</f>
        <v>0</v>
      </c>
      <c r="BF79" t="str">
        <f>ROUND(258.37*(1+AD6)*(1+AD5)+AD7,2)</f>
        <v>0</v>
      </c>
    </row>
    <row r="80" spans="1:58">
      <c r="A80" s="11"/>
      <c r="B80" s="13"/>
      <c r="C80" s="17">
        <v>2300</v>
      </c>
      <c r="D80" s="11">
        <v>64.89</v>
      </c>
      <c r="E80" s="11">
        <v>73.2</v>
      </c>
      <c r="F80" s="11">
        <v>81.45</v>
      </c>
      <c r="G80" s="11">
        <v>89.82</v>
      </c>
      <c r="H80" s="11">
        <v>98.89</v>
      </c>
      <c r="I80" s="11">
        <v>108.02</v>
      </c>
      <c r="J80" s="11">
        <v>117.23</v>
      </c>
      <c r="K80" s="11">
        <v>125.81</v>
      </c>
      <c r="L80" s="11">
        <v>135.03</v>
      </c>
      <c r="M80" s="11">
        <v>143.58</v>
      </c>
      <c r="N80" s="11">
        <v>150.51</v>
      </c>
      <c r="O80" s="11">
        <v>160.58</v>
      </c>
      <c r="P80" s="11">
        <v>169.66</v>
      </c>
      <c r="Q80" s="11">
        <v>179.56</v>
      </c>
      <c r="R80" s="11">
        <v>187.83</v>
      </c>
      <c r="S80" s="11">
        <v>196.55</v>
      </c>
      <c r="T80" s="11">
        <v>204.91</v>
      </c>
      <c r="U80" s="11">
        <v>213.51</v>
      </c>
      <c r="V80" s="11">
        <v>224.04</v>
      </c>
      <c r="W80" s="11">
        <v>235.18</v>
      </c>
      <c r="X80" s="11">
        <v>245.52</v>
      </c>
      <c r="Y80" s="11">
        <v>253.9</v>
      </c>
      <c r="Z80" s="11">
        <v>262.05</v>
      </c>
      <c r="AA80" s="11"/>
      <c r="AB80" s="11"/>
      <c r="AC80" s="11"/>
      <c r="AD80" s="11"/>
      <c r="AE80" s="11"/>
      <c r="AF80" s="11"/>
      <c r="AG80" s="12"/>
      <c r="AH80" s="13"/>
      <c r="AI80" s="17">
        <v>2300</v>
      </c>
      <c r="AJ80" s="11" t="str">
        <f>ROUND(64.89*(1+AD6)*(1+AD5)+AD7,2)</f>
        <v>0</v>
      </c>
      <c r="AK80" s="11" t="str">
        <f>ROUND(73.2*(1+AD6)*(1+AD5)+AD7,2)</f>
        <v>0</v>
      </c>
      <c r="AL80" s="11" t="str">
        <f>ROUND(81.45*(1+AD6)*(1+AD5)+AD7,2)</f>
        <v>0</v>
      </c>
      <c r="AM80" s="11" t="str">
        <f>ROUND(89.82*(1+AD6)*(1+AD5)+AD7,2)</f>
        <v>0</v>
      </c>
      <c r="AN80" s="11" t="str">
        <f>ROUND(98.89*(1+AD6)*(1+AD5)+AD7,2)</f>
        <v>0</v>
      </c>
      <c r="AO80" s="11" t="str">
        <f>ROUND(108.02*(1+AD6)*(1+AD5)+AD7,2)</f>
        <v>0</v>
      </c>
      <c r="AP80" s="11" t="str">
        <f>ROUND(117.23*(1+AD6)*(1+AD5)+AD7,2)</f>
        <v>0</v>
      </c>
      <c r="AQ80" s="11" t="str">
        <f>ROUND(125.81*(1+AD6)*(1+AD5)+AD7,2)</f>
        <v>0</v>
      </c>
      <c r="AR80" s="11" t="str">
        <f>ROUND(135.03*(1+AD6)*(1+AD5)+AD7,2)</f>
        <v>0</v>
      </c>
      <c r="AS80" s="11" t="str">
        <f>ROUND(143.58*(1+AD6)*(1+AD5)+AD7,2)</f>
        <v>0</v>
      </c>
      <c r="AT80" s="11" t="str">
        <f>ROUND(150.51*(1+AD6)*(1+AD5)+AD7,2)</f>
        <v>0</v>
      </c>
      <c r="AU80" s="11" t="str">
        <f>ROUND(160.58*(1+AD6)*(1+AD5)+AD7,2)</f>
        <v>0</v>
      </c>
      <c r="AV80" s="11" t="str">
        <f>ROUND(169.66*(1+AD6)*(1+AD5)+AD7,2)</f>
        <v>0</v>
      </c>
      <c r="AW80" s="11" t="str">
        <f>ROUND(179.56*(1+AD6)*(1+AD5)+AD7,2)</f>
        <v>0</v>
      </c>
      <c r="AX80" s="11" t="str">
        <f>ROUND(187.83*(1+AD6)*(1+AD5)+AD7,2)</f>
        <v>0</v>
      </c>
      <c r="AY80" s="11" t="str">
        <f>ROUND(196.55*(1+AD6)*(1+AD5)+AD7,2)</f>
        <v>0</v>
      </c>
      <c r="AZ80" s="11" t="str">
        <f>ROUND(204.91*(1+AD6)*(1+AD5)+AD7,2)</f>
        <v>0</v>
      </c>
      <c r="BA80" s="11" t="str">
        <f>ROUND(213.51*(1+AD6)*(1+AD5)+AD7,2)</f>
        <v>0</v>
      </c>
      <c r="BB80" s="11" t="str">
        <f>ROUND(224.04*(1+AD6)*(1+AD5)+AD7,2)</f>
        <v>0</v>
      </c>
      <c r="BC80" s="11" t="str">
        <f>ROUND(235.18*(1+AD6)*(1+AD5)+AD7,2)</f>
        <v>0</v>
      </c>
      <c r="BD80" s="11" t="str">
        <f>ROUND(245.52*(1+AD6)*(1+AD5)+AD7,2)</f>
        <v>0</v>
      </c>
      <c r="BE80" t="str">
        <f>ROUND(253.9*(1+AD6)*(1+AD5)+AD7,2)</f>
        <v>0</v>
      </c>
      <c r="BF80" t="str">
        <f>ROUND(262.05*(1+AD6)*(1+AD5)+AD7,2)</f>
        <v>0</v>
      </c>
    </row>
    <row r="81" spans="1:58">
      <c r="A81" s="11"/>
      <c r="B81" s="13"/>
      <c r="C81" s="17">
        <v>2400</v>
      </c>
      <c r="D81" s="11">
        <v>65.42</v>
      </c>
      <c r="E81" s="11">
        <v>73.85</v>
      </c>
      <c r="F81" s="11">
        <v>82.24</v>
      </c>
      <c r="G81" s="11">
        <v>90.77</v>
      </c>
      <c r="H81" s="11">
        <v>100.01</v>
      </c>
      <c r="I81" s="11">
        <v>109.28</v>
      </c>
      <c r="J81" s="11">
        <v>118.63</v>
      </c>
      <c r="K81" s="11">
        <v>127.36</v>
      </c>
      <c r="L81" s="11">
        <v>136.75</v>
      </c>
      <c r="M81" s="11">
        <v>145.41</v>
      </c>
      <c r="N81" s="11">
        <v>154.09</v>
      </c>
      <c r="O81" s="11">
        <v>162.71</v>
      </c>
      <c r="P81" s="11">
        <v>171.91</v>
      </c>
      <c r="Q81" s="11">
        <v>182</v>
      </c>
      <c r="R81" s="11">
        <v>190.43</v>
      </c>
      <c r="S81" s="11">
        <v>199.28</v>
      </c>
      <c r="T81" s="11">
        <v>207.81</v>
      </c>
      <c r="U81" s="11">
        <v>216.56</v>
      </c>
      <c r="V81" s="11">
        <v>227.23</v>
      </c>
      <c r="W81" s="11">
        <v>238.49</v>
      </c>
      <c r="X81" s="11">
        <v>249.02</v>
      </c>
      <c r="Y81" s="11">
        <v>257.55</v>
      </c>
      <c r="Z81" s="11">
        <v>265.81</v>
      </c>
      <c r="AA81" s="11"/>
      <c r="AB81" s="11"/>
      <c r="AC81" s="11"/>
      <c r="AD81" s="11"/>
      <c r="AE81" s="11"/>
      <c r="AF81" s="11"/>
      <c r="AG81" s="12"/>
      <c r="AH81" s="13"/>
      <c r="AI81" s="17">
        <v>2400</v>
      </c>
      <c r="AJ81" s="11" t="str">
        <f>ROUND(65.42*(1+AD6)*(1+AD5)+AD7,2)</f>
        <v>0</v>
      </c>
      <c r="AK81" s="11" t="str">
        <f>ROUND(73.85*(1+AD6)*(1+AD5)+AD7,2)</f>
        <v>0</v>
      </c>
      <c r="AL81" s="11" t="str">
        <f>ROUND(82.24*(1+AD6)*(1+AD5)+AD7,2)</f>
        <v>0</v>
      </c>
      <c r="AM81" s="11" t="str">
        <f>ROUND(90.77*(1+AD6)*(1+AD5)+AD7,2)</f>
        <v>0</v>
      </c>
      <c r="AN81" s="11" t="str">
        <f>ROUND(100.01*(1+AD6)*(1+AD5)+AD7,2)</f>
        <v>0</v>
      </c>
      <c r="AO81" s="11" t="str">
        <f>ROUND(109.28*(1+AD6)*(1+AD5)+AD7,2)</f>
        <v>0</v>
      </c>
      <c r="AP81" s="11" t="str">
        <f>ROUND(118.63*(1+AD6)*(1+AD5)+AD7,2)</f>
        <v>0</v>
      </c>
      <c r="AQ81" s="11" t="str">
        <f>ROUND(127.36*(1+AD6)*(1+AD5)+AD7,2)</f>
        <v>0</v>
      </c>
      <c r="AR81" s="11" t="str">
        <f>ROUND(136.75*(1+AD6)*(1+AD5)+AD7,2)</f>
        <v>0</v>
      </c>
      <c r="AS81" s="11" t="str">
        <f>ROUND(145.41*(1+AD6)*(1+AD5)+AD7,2)</f>
        <v>0</v>
      </c>
      <c r="AT81" s="11" t="str">
        <f>ROUND(154.09*(1+AD6)*(1+AD5)+AD7,2)</f>
        <v>0</v>
      </c>
      <c r="AU81" s="11" t="str">
        <f>ROUND(162.71*(1+AD6)*(1+AD5)+AD7,2)</f>
        <v>0</v>
      </c>
      <c r="AV81" s="11" t="str">
        <f>ROUND(171.91*(1+AD6)*(1+AD5)+AD7,2)</f>
        <v>0</v>
      </c>
      <c r="AW81" s="11" t="str">
        <f>ROUND(182*(1+AD6)*(1+AD5)+AD7,2)</f>
        <v>0</v>
      </c>
      <c r="AX81" s="11" t="str">
        <f>ROUND(190.43*(1+AD6)*(1+AD5)+AD7,2)</f>
        <v>0</v>
      </c>
      <c r="AY81" s="11" t="str">
        <f>ROUND(199.28*(1+AD6)*(1+AD5)+AD7,2)</f>
        <v>0</v>
      </c>
      <c r="AZ81" s="11" t="str">
        <f>ROUND(207.81*(1+AD6)*(1+AD5)+AD7,2)</f>
        <v>0</v>
      </c>
      <c r="BA81" s="11" t="str">
        <f>ROUND(216.56*(1+AD6)*(1+AD5)+AD7,2)</f>
        <v>0</v>
      </c>
      <c r="BB81" s="11" t="str">
        <f>ROUND(227.23*(1+AD6)*(1+AD5)+AD7,2)</f>
        <v>0</v>
      </c>
      <c r="BC81" s="11" t="str">
        <f>ROUND(238.49*(1+AD6)*(1+AD5)+AD7,2)</f>
        <v>0</v>
      </c>
      <c r="BD81" s="11" t="str">
        <f>ROUND(249.02*(1+AD6)*(1+AD5)+AD7,2)</f>
        <v>0</v>
      </c>
      <c r="BE81" t="str">
        <f>ROUND(257.55*(1+AD6)*(1+AD5)+AD7,2)</f>
        <v>0</v>
      </c>
      <c r="BF81" t="str">
        <f>ROUND(265.81*(1+AD6)*(1+AD5)+AD7,2)</f>
        <v>0</v>
      </c>
    </row>
    <row r="82" spans="1:58">
      <c r="A82" s="11"/>
      <c r="B82" s="13"/>
      <c r="C82" s="17">
        <v>2500</v>
      </c>
      <c r="D82" s="11">
        <v>67.15</v>
      </c>
      <c r="E82" s="11">
        <v>75.82</v>
      </c>
      <c r="F82" s="11">
        <v>84.47</v>
      </c>
      <c r="G82" s="11">
        <v>93.22</v>
      </c>
      <c r="H82" s="11">
        <v>102.71</v>
      </c>
      <c r="I82" s="11">
        <v>112.21</v>
      </c>
      <c r="J82" s="11">
        <v>121.78</v>
      </c>
      <c r="K82" s="11">
        <v>130.76</v>
      </c>
      <c r="L82" s="11">
        <v>140.41</v>
      </c>
      <c r="M82" s="11">
        <v>149.31</v>
      </c>
      <c r="N82" s="11">
        <v>158.24</v>
      </c>
      <c r="O82" s="11">
        <v>167.11</v>
      </c>
      <c r="P82" s="11">
        <v>176.55</v>
      </c>
      <c r="Q82" s="11">
        <v>186.91</v>
      </c>
      <c r="R82" s="11">
        <v>195.59</v>
      </c>
      <c r="S82" s="11">
        <v>204.67</v>
      </c>
      <c r="T82" s="11">
        <v>213.42</v>
      </c>
      <c r="U82" s="11">
        <v>222.41</v>
      </c>
      <c r="V82" s="11">
        <v>233.33</v>
      </c>
      <c r="W82" s="11">
        <v>244.86</v>
      </c>
      <c r="X82" s="11">
        <v>255.61</v>
      </c>
      <c r="Y82" s="11">
        <v>264.38</v>
      </c>
      <c r="Z82" s="11">
        <v>272.88</v>
      </c>
      <c r="AA82" s="11"/>
      <c r="AB82" s="11"/>
      <c r="AC82" s="11"/>
      <c r="AD82" s="11"/>
      <c r="AE82" s="11"/>
      <c r="AF82" s="11"/>
      <c r="AG82" s="12"/>
      <c r="AH82" s="13"/>
      <c r="AI82" s="17">
        <v>2500</v>
      </c>
      <c r="AJ82" s="11" t="str">
        <f>ROUND(67.15*(1+AD6)*(1+AD5)+AD7,2)</f>
        <v>0</v>
      </c>
      <c r="AK82" s="11" t="str">
        <f>ROUND(75.82*(1+AD6)*(1+AD5)+AD7,2)</f>
        <v>0</v>
      </c>
      <c r="AL82" s="11" t="str">
        <f>ROUND(84.47*(1+AD6)*(1+AD5)+AD7,2)</f>
        <v>0</v>
      </c>
      <c r="AM82" s="11" t="str">
        <f>ROUND(93.22*(1+AD6)*(1+AD5)+AD7,2)</f>
        <v>0</v>
      </c>
      <c r="AN82" s="11" t="str">
        <f>ROUND(102.71*(1+AD6)*(1+AD5)+AD7,2)</f>
        <v>0</v>
      </c>
      <c r="AO82" s="11" t="str">
        <f>ROUND(112.21*(1+AD6)*(1+AD5)+AD7,2)</f>
        <v>0</v>
      </c>
      <c r="AP82" s="11" t="str">
        <f>ROUND(121.78*(1+AD6)*(1+AD5)+AD7,2)</f>
        <v>0</v>
      </c>
      <c r="AQ82" s="11" t="str">
        <f>ROUND(130.76*(1+AD6)*(1+AD5)+AD7,2)</f>
        <v>0</v>
      </c>
      <c r="AR82" s="11" t="str">
        <f>ROUND(140.41*(1+AD6)*(1+AD5)+AD7,2)</f>
        <v>0</v>
      </c>
      <c r="AS82" s="11" t="str">
        <f>ROUND(149.31*(1+AD6)*(1+AD5)+AD7,2)</f>
        <v>0</v>
      </c>
      <c r="AT82" s="11" t="str">
        <f>ROUND(158.24*(1+AD6)*(1+AD5)+AD7,2)</f>
        <v>0</v>
      </c>
      <c r="AU82" s="11" t="str">
        <f>ROUND(167.11*(1+AD6)*(1+AD5)+AD7,2)</f>
        <v>0</v>
      </c>
      <c r="AV82" s="11" t="str">
        <f>ROUND(176.55*(1+AD6)*(1+AD5)+AD7,2)</f>
        <v>0</v>
      </c>
      <c r="AW82" s="11" t="str">
        <f>ROUND(186.91*(1+AD6)*(1+AD5)+AD7,2)</f>
        <v>0</v>
      </c>
      <c r="AX82" s="11" t="str">
        <f>ROUND(195.59*(1+AD6)*(1+AD5)+AD7,2)</f>
        <v>0</v>
      </c>
      <c r="AY82" s="11" t="str">
        <f>ROUND(204.67*(1+AD6)*(1+AD5)+AD7,2)</f>
        <v>0</v>
      </c>
      <c r="AZ82" s="11" t="str">
        <f>ROUND(213.42*(1+AD6)*(1+AD5)+AD7,2)</f>
        <v>0</v>
      </c>
      <c r="BA82" s="11" t="str">
        <f>ROUND(222.41*(1+AD6)*(1+AD5)+AD7,2)</f>
        <v>0</v>
      </c>
      <c r="BB82" s="11" t="str">
        <f>ROUND(233.33*(1+AD6)*(1+AD5)+AD7,2)</f>
        <v>0</v>
      </c>
      <c r="BC82" s="11" t="str">
        <f>ROUND(244.86*(1+AD6)*(1+AD5)+AD7,2)</f>
        <v>0</v>
      </c>
      <c r="BD82" s="11" t="str">
        <f>ROUND(255.61*(1+AD6)*(1+AD5)+AD7,2)</f>
        <v>0</v>
      </c>
      <c r="BE82" t="str">
        <f>ROUND(264.38*(1+AD6)*(1+AD5)+AD7,2)</f>
        <v>0</v>
      </c>
      <c r="BF82" t="str">
        <f>ROUND(272.88*(1+AD6)*(1+AD5)+AD7,2)</f>
        <v>0</v>
      </c>
    </row>
    <row r="83" spans="1:58">
      <c r="A83" s="11"/>
      <c r="B83" s="13"/>
      <c r="C83" s="17">
        <v>2600</v>
      </c>
      <c r="D83" s="11">
        <v>70.51</v>
      </c>
      <c r="E83" s="11">
        <v>79.61</v>
      </c>
      <c r="F83" s="11">
        <v>88.7</v>
      </c>
      <c r="G83" s="11">
        <v>97.88</v>
      </c>
      <c r="H83" s="11">
        <v>107.85</v>
      </c>
      <c r="I83" s="11">
        <v>117.82</v>
      </c>
      <c r="J83" s="11">
        <v>127.87</v>
      </c>
      <c r="K83" s="11">
        <v>137.3</v>
      </c>
      <c r="L83" s="11">
        <v>147.43</v>
      </c>
      <c r="M83" s="11">
        <v>156.77</v>
      </c>
      <c r="N83" s="11">
        <v>166.15</v>
      </c>
      <c r="O83" s="11">
        <v>175.46</v>
      </c>
      <c r="P83" s="11">
        <v>185.38</v>
      </c>
      <c r="Q83" s="11">
        <v>196.26</v>
      </c>
      <c r="R83" s="11">
        <v>205.37</v>
      </c>
      <c r="S83" s="11">
        <v>214.9</v>
      </c>
      <c r="T83" s="11">
        <v>224.09</v>
      </c>
      <c r="U83" s="11">
        <v>233.53</v>
      </c>
      <c r="V83" s="11">
        <v>245</v>
      </c>
      <c r="W83" s="11">
        <v>257.1</v>
      </c>
      <c r="X83" s="11">
        <v>268.39</v>
      </c>
      <c r="Y83" s="11">
        <v>277.6</v>
      </c>
      <c r="Z83" s="11">
        <v>286.52</v>
      </c>
      <c r="AA83" s="11"/>
      <c r="AB83" s="11"/>
      <c r="AC83" s="11"/>
      <c r="AD83" s="11"/>
      <c r="AE83" s="11"/>
      <c r="AF83" s="11"/>
      <c r="AG83" s="12"/>
      <c r="AH83" s="13"/>
      <c r="AI83" s="17">
        <v>2600</v>
      </c>
      <c r="AJ83" s="11" t="str">
        <f>ROUND(70.51*(1+AD6)*(1+AD5)+AD7,2)</f>
        <v>0</v>
      </c>
      <c r="AK83" s="11" t="str">
        <f>ROUND(79.61*(1+AD6)*(1+AD5)+AD7,2)</f>
        <v>0</v>
      </c>
      <c r="AL83" s="11" t="str">
        <f>ROUND(88.7*(1+AD6)*(1+AD5)+AD7,2)</f>
        <v>0</v>
      </c>
      <c r="AM83" s="11" t="str">
        <f>ROUND(97.88*(1+AD6)*(1+AD5)+AD7,2)</f>
        <v>0</v>
      </c>
      <c r="AN83" s="11" t="str">
        <f>ROUND(107.85*(1+AD6)*(1+AD5)+AD7,2)</f>
        <v>0</v>
      </c>
      <c r="AO83" s="11" t="str">
        <f>ROUND(117.82*(1+AD6)*(1+AD5)+AD7,2)</f>
        <v>0</v>
      </c>
      <c r="AP83" s="11" t="str">
        <f>ROUND(127.87*(1+AD6)*(1+AD5)+AD7,2)</f>
        <v>0</v>
      </c>
      <c r="AQ83" s="11" t="str">
        <f>ROUND(137.3*(1+AD6)*(1+AD5)+AD7,2)</f>
        <v>0</v>
      </c>
      <c r="AR83" s="11" t="str">
        <f>ROUND(147.43*(1+AD6)*(1+AD5)+AD7,2)</f>
        <v>0</v>
      </c>
      <c r="AS83" s="11" t="str">
        <f>ROUND(156.77*(1+AD6)*(1+AD5)+AD7,2)</f>
        <v>0</v>
      </c>
      <c r="AT83" s="11" t="str">
        <f>ROUND(166.15*(1+AD6)*(1+AD5)+AD7,2)</f>
        <v>0</v>
      </c>
      <c r="AU83" s="11" t="str">
        <f>ROUND(175.46*(1+AD6)*(1+AD5)+AD7,2)</f>
        <v>0</v>
      </c>
      <c r="AV83" s="11" t="str">
        <f>ROUND(185.38*(1+AD6)*(1+AD5)+AD7,2)</f>
        <v>0</v>
      </c>
      <c r="AW83" s="11" t="str">
        <f>ROUND(196.26*(1+AD6)*(1+AD5)+AD7,2)</f>
        <v>0</v>
      </c>
      <c r="AX83" s="11" t="str">
        <f>ROUND(205.37*(1+AD6)*(1+AD5)+AD7,2)</f>
        <v>0</v>
      </c>
      <c r="AY83" s="11" t="str">
        <f>ROUND(214.9*(1+AD6)*(1+AD5)+AD7,2)</f>
        <v>0</v>
      </c>
      <c r="AZ83" s="11" t="str">
        <f>ROUND(224.09*(1+AD6)*(1+AD5)+AD7,2)</f>
        <v>0</v>
      </c>
      <c r="BA83" s="11" t="str">
        <f>ROUND(233.53*(1+AD6)*(1+AD5)+AD7,2)</f>
        <v>0</v>
      </c>
      <c r="BB83" s="11" t="str">
        <f>ROUND(245*(1+AD6)*(1+AD5)+AD7,2)</f>
        <v>0</v>
      </c>
      <c r="BC83" s="11" t="str">
        <f>ROUND(257.1*(1+AD6)*(1+AD5)+AD7,2)</f>
        <v>0</v>
      </c>
      <c r="BD83" s="11" t="str">
        <f>ROUND(268.39*(1+AD6)*(1+AD5)+AD7,2)</f>
        <v>0</v>
      </c>
      <c r="BE83" t="str">
        <f>ROUND(277.6*(1+AD6)*(1+AD5)+AD7,2)</f>
        <v>0</v>
      </c>
      <c r="BF83" t="str">
        <f>ROUND(286.52*(1+AD6)*(1+AD5)+AD7,2)</f>
        <v>0</v>
      </c>
    </row>
    <row r="84" spans="1:58">
      <c r="A84" s="11"/>
      <c r="B84" s="13"/>
      <c r="C84" s="17">
        <v>2700</v>
      </c>
      <c r="D84" s="11">
        <v>74.03</v>
      </c>
      <c r="E84" s="11">
        <v>83.59</v>
      </c>
      <c r="F84" s="11">
        <v>93.13</v>
      </c>
      <c r="G84" s="11">
        <v>102.77</v>
      </c>
      <c r="H84" s="11">
        <v>113.24</v>
      </c>
      <c r="I84" s="11">
        <v>123.71</v>
      </c>
      <c r="J84" s="11">
        <v>134.27</v>
      </c>
      <c r="K84" s="11">
        <v>144.16</v>
      </c>
      <c r="L84" s="11">
        <v>154.8</v>
      </c>
      <c r="M84" s="11">
        <v>164.61</v>
      </c>
      <c r="N84" s="11">
        <v>174.46</v>
      </c>
      <c r="O84" s="11">
        <v>184.24</v>
      </c>
      <c r="P84" s="11">
        <v>194.65</v>
      </c>
      <c r="Q84" s="11">
        <v>206.08</v>
      </c>
      <c r="R84" s="11">
        <v>215.64</v>
      </c>
      <c r="S84" s="11">
        <v>225.65</v>
      </c>
      <c r="T84" s="11">
        <v>235.3</v>
      </c>
      <c r="U84" s="11">
        <v>245.21</v>
      </c>
      <c r="V84" s="11">
        <v>257.25</v>
      </c>
      <c r="W84" s="11">
        <v>269.96</v>
      </c>
      <c r="X84" s="11">
        <v>281.81</v>
      </c>
      <c r="Y84" s="11">
        <v>291.48</v>
      </c>
      <c r="Z84" s="11">
        <v>300.85</v>
      </c>
      <c r="AA84" s="11"/>
      <c r="AB84" s="11"/>
      <c r="AC84" s="11"/>
      <c r="AD84" s="11"/>
      <c r="AE84" s="11"/>
      <c r="AF84" s="11"/>
      <c r="AG84" s="12"/>
      <c r="AH84" s="13"/>
      <c r="AI84" s="17">
        <v>2700</v>
      </c>
      <c r="AJ84" s="11" t="str">
        <f>ROUND(74.03*(1+AD6)*(1+AD5)+AD7,2)</f>
        <v>0</v>
      </c>
      <c r="AK84" s="11" t="str">
        <f>ROUND(83.59*(1+AD6)*(1+AD5)+AD7,2)</f>
        <v>0</v>
      </c>
      <c r="AL84" s="11" t="str">
        <f>ROUND(93.13*(1+AD6)*(1+AD5)+AD7,2)</f>
        <v>0</v>
      </c>
      <c r="AM84" s="11" t="str">
        <f>ROUND(102.77*(1+AD6)*(1+AD5)+AD7,2)</f>
        <v>0</v>
      </c>
      <c r="AN84" s="11" t="str">
        <f>ROUND(113.24*(1+AD6)*(1+AD5)+AD7,2)</f>
        <v>0</v>
      </c>
      <c r="AO84" s="11" t="str">
        <f>ROUND(123.71*(1+AD6)*(1+AD5)+AD7,2)</f>
        <v>0</v>
      </c>
      <c r="AP84" s="11" t="str">
        <f>ROUND(134.27*(1+AD6)*(1+AD5)+AD7,2)</f>
        <v>0</v>
      </c>
      <c r="AQ84" s="11" t="str">
        <f>ROUND(144.16*(1+AD6)*(1+AD5)+AD7,2)</f>
        <v>0</v>
      </c>
      <c r="AR84" s="11" t="str">
        <f>ROUND(154.8*(1+AD6)*(1+AD5)+AD7,2)</f>
        <v>0</v>
      </c>
      <c r="AS84" s="11" t="str">
        <f>ROUND(164.61*(1+AD6)*(1+AD5)+AD7,2)</f>
        <v>0</v>
      </c>
      <c r="AT84" s="11" t="str">
        <f>ROUND(174.46*(1+AD6)*(1+AD5)+AD7,2)</f>
        <v>0</v>
      </c>
      <c r="AU84" s="11" t="str">
        <f>ROUND(184.24*(1+AD6)*(1+AD5)+AD7,2)</f>
        <v>0</v>
      </c>
      <c r="AV84" s="11" t="str">
        <f>ROUND(194.65*(1+AD6)*(1+AD5)+AD7,2)</f>
        <v>0</v>
      </c>
      <c r="AW84" s="11" t="str">
        <f>ROUND(206.08*(1+AD6)*(1+AD5)+AD7,2)</f>
        <v>0</v>
      </c>
      <c r="AX84" s="11" t="str">
        <f>ROUND(215.64*(1+AD6)*(1+AD5)+AD7,2)</f>
        <v>0</v>
      </c>
      <c r="AY84" s="11" t="str">
        <f>ROUND(225.65*(1+AD6)*(1+AD5)+AD7,2)</f>
        <v>0</v>
      </c>
      <c r="AZ84" s="11" t="str">
        <f>ROUND(235.3*(1+AD6)*(1+AD5)+AD7,2)</f>
        <v>0</v>
      </c>
      <c r="BA84" s="11" t="str">
        <f>ROUND(245.21*(1+AD6)*(1+AD5)+AD7,2)</f>
        <v>0</v>
      </c>
      <c r="BB84" s="11" t="str">
        <f>ROUND(257.25*(1+AD6)*(1+AD5)+AD7,2)</f>
        <v>0</v>
      </c>
      <c r="BC84" s="11" t="str">
        <f>ROUND(269.96*(1+AD6)*(1+AD5)+AD7,2)</f>
        <v>0</v>
      </c>
      <c r="BD84" s="11" t="str">
        <f>ROUND(281.81*(1+AD6)*(1+AD5)+AD7,2)</f>
        <v>0</v>
      </c>
      <c r="BE84" t="str">
        <f>ROUND(291.48*(1+AD6)*(1+AD5)+AD7,2)</f>
        <v>0</v>
      </c>
      <c r="BF84" t="str">
        <f>ROUND(300.85*(1+AD6)*(1+AD5)+AD7,2)</f>
        <v>0</v>
      </c>
    </row>
    <row r="85" spans="1:58">
      <c r="A85" s="11"/>
      <c r="B85" s="13"/>
      <c r="C85" s="17">
        <v>2800</v>
      </c>
      <c r="D85" s="11">
        <v>77.73</v>
      </c>
      <c r="E85" s="11">
        <v>87.77</v>
      </c>
      <c r="F85" s="11">
        <v>97.79</v>
      </c>
      <c r="G85" s="11">
        <v>107.91</v>
      </c>
      <c r="H85" s="11">
        <v>118.9</v>
      </c>
      <c r="I85" s="11">
        <v>129.9</v>
      </c>
      <c r="J85" s="11">
        <v>140.99</v>
      </c>
      <c r="K85" s="11">
        <v>151.37</v>
      </c>
      <c r="L85" s="11">
        <v>162.55</v>
      </c>
      <c r="M85" s="11">
        <v>172.84</v>
      </c>
      <c r="N85" s="11">
        <v>183.18</v>
      </c>
      <c r="O85" s="11">
        <v>193.45</v>
      </c>
      <c r="P85" s="11">
        <v>204.38</v>
      </c>
      <c r="Q85" s="11">
        <v>216.38</v>
      </c>
      <c r="R85" s="11">
        <v>226.42</v>
      </c>
      <c r="S85" s="11">
        <v>236.93</v>
      </c>
      <c r="T85" s="11">
        <v>247.07</v>
      </c>
      <c r="U85" s="11">
        <v>257.47</v>
      </c>
      <c r="V85" s="11">
        <v>270.11</v>
      </c>
      <c r="W85" s="11">
        <v>283.46</v>
      </c>
      <c r="X85" s="11">
        <v>295.9</v>
      </c>
      <c r="Y85" s="11">
        <v>306.05</v>
      </c>
      <c r="Z85" s="11">
        <v>315.89</v>
      </c>
      <c r="AA85" s="11"/>
      <c r="AB85" s="11"/>
      <c r="AC85" s="11"/>
      <c r="AD85" s="11"/>
      <c r="AE85" s="11"/>
      <c r="AF85" s="11"/>
      <c r="AG85" s="12"/>
      <c r="AH85" s="13"/>
      <c r="AI85" s="17">
        <v>2800</v>
      </c>
      <c r="AJ85" s="11" t="str">
        <f>ROUND(77.73*(1+AD6)*(1+AD5)+AD7,2)</f>
        <v>0</v>
      </c>
      <c r="AK85" s="11" t="str">
        <f>ROUND(87.77*(1+AD6)*(1+AD5)+AD7,2)</f>
        <v>0</v>
      </c>
      <c r="AL85" s="11" t="str">
        <f>ROUND(97.79*(1+AD6)*(1+AD5)+AD7,2)</f>
        <v>0</v>
      </c>
      <c r="AM85" s="11" t="str">
        <f>ROUND(107.91*(1+AD6)*(1+AD5)+AD7,2)</f>
        <v>0</v>
      </c>
      <c r="AN85" s="11" t="str">
        <f>ROUND(118.9*(1+AD6)*(1+AD5)+AD7,2)</f>
        <v>0</v>
      </c>
      <c r="AO85" s="11" t="str">
        <f>ROUND(129.9*(1+AD6)*(1+AD5)+AD7,2)</f>
        <v>0</v>
      </c>
      <c r="AP85" s="11" t="str">
        <f>ROUND(140.99*(1+AD6)*(1+AD5)+AD7,2)</f>
        <v>0</v>
      </c>
      <c r="AQ85" s="11" t="str">
        <f>ROUND(151.37*(1+AD6)*(1+AD5)+AD7,2)</f>
        <v>0</v>
      </c>
      <c r="AR85" s="11" t="str">
        <f>ROUND(162.55*(1+AD6)*(1+AD5)+AD7,2)</f>
        <v>0</v>
      </c>
      <c r="AS85" s="11" t="str">
        <f>ROUND(172.84*(1+AD6)*(1+AD5)+AD7,2)</f>
        <v>0</v>
      </c>
      <c r="AT85" s="11" t="str">
        <f>ROUND(183.18*(1+AD6)*(1+AD5)+AD7,2)</f>
        <v>0</v>
      </c>
      <c r="AU85" s="11" t="str">
        <f>ROUND(193.45*(1+AD6)*(1+AD5)+AD7,2)</f>
        <v>0</v>
      </c>
      <c r="AV85" s="11" t="str">
        <f>ROUND(204.38*(1+AD6)*(1+AD5)+AD7,2)</f>
        <v>0</v>
      </c>
      <c r="AW85" s="11" t="str">
        <f>ROUND(216.38*(1+AD6)*(1+AD5)+AD7,2)</f>
        <v>0</v>
      </c>
      <c r="AX85" s="11" t="str">
        <f>ROUND(226.42*(1+AD6)*(1+AD5)+AD7,2)</f>
        <v>0</v>
      </c>
      <c r="AY85" s="11" t="str">
        <f>ROUND(236.93*(1+AD6)*(1+AD5)+AD7,2)</f>
        <v>0</v>
      </c>
      <c r="AZ85" s="11" t="str">
        <f>ROUND(247.07*(1+AD6)*(1+AD5)+AD7,2)</f>
        <v>0</v>
      </c>
      <c r="BA85" s="11" t="str">
        <f>ROUND(257.47*(1+AD6)*(1+AD5)+AD7,2)</f>
        <v>0</v>
      </c>
      <c r="BB85" s="11" t="str">
        <f>ROUND(270.11*(1+AD6)*(1+AD5)+AD7,2)</f>
        <v>0</v>
      </c>
      <c r="BC85" s="11" t="str">
        <f>ROUND(283.46*(1+AD6)*(1+AD5)+AD7,2)</f>
        <v>0</v>
      </c>
      <c r="BD85" s="11" t="str">
        <f>ROUND(295.9*(1+AD6)*(1+AD5)+AD7,2)</f>
        <v>0</v>
      </c>
      <c r="BE85" t="str">
        <f>ROUND(306.05*(1+AD6)*(1+AD5)+AD7,2)</f>
        <v>0</v>
      </c>
      <c r="BF85" t="str">
        <f>ROUND(315.89*(1+AD6)*(1+AD5)+AD7,2)</f>
        <v>0</v>
      </c>
    </row>
    <row r="86" spans="1:58">
      <c r="A86" s="11"/>
      <c r="B86" s="13"/>
      <c r="C86" s="17">
        <v>2900</v>
      </c>
      <c r="D86" s="11">
        <v>81.61</v>
      </c>
      <c r="E86" s="11">
        <v>92.16</v>
      </c>
      <c r="F86" s="11">
        <v>102.67</v>
      </c>
      <c r="G86" s="11">
        <v>113.31</v>
      </c>
      <c r="H86" s="11">
        <v>124.85</v>
      </c>
      <c r="I86" s="11">
        <v>136.39</v>
      </c>
      <c r="J86" s="11">
        <v>148.04</v>
      </c>
      <c r="K86" s="11">
        <v>158.94</v>
      </c>
      <c r="L86" s="11">
        <v>170.67</v>
      </c>
      <c r="M86" s="11">
        <v>181.49</v>
      </c>
      <c r="N86" s="11">
        <v>192.34</v>
      </c>
      <c r="O86" s="11">
        <v>203.12</v>
      </c>
      <c r="P86" s="11">
        <v>214.6</v>
      </c>
      <c r="Q86" s="11">
        <v>227.19</v>
      </c>
      <c r="R86" s="11">
        <v>237.74</v>
      </c>
      <c r="S86" s="11">
        <v>248.78</v>
      </c>
      <c r="T86" s="11">
        <v>259.42</v>
      </c>
      <c r="U86" s="11">
        <v>270.34</v>
      </c>
      <c r="V86" s="11">
        <v>283.62</v>
      </c>
      <c r="W86" s="11">
        <v>297.63</v>
      </c>
      <c r="X86" s="11">
        <v>310.69</v>
      </c>
      <c r="Y86" s="11">
        <v>321.35</v>
      </c>
      <c r="Z86" s="11">
        <v>331.68</v>
      </c>
      <c r="AA86" s="11"/>
      <c r="AB86" s="11"/>
      <c r="AC86" s="11"/>
      <c r="AD86" s="11"/>
      <c r="AE86" s="11"/>
      <c r="AF86" s="11"/>
      <c r="AG86" s="12"/>
      <c r="AH86" s="13"/>
      <c r="AI86" s="17">
        <v>2900</v>
      </c>
      <c r="AJ86" s="11" t="str">
        <f>ROUND(81.61*(1+AD6)*(1+AD5)+AD7,2)</f>
        <v>0</v>
      </c>
      <c r="AK86" s="11" t="str">
        <f>ROUND(92.16*(1+AD6)*(1+AD5)+AD7,2)</f>
        <v>0</v>
      </c>
      <c r="AL86" s="11" t="str">
        <f>ROUND(102.67*(1+AD6)*(1+AD5)+AD7,2)</f>
        <v>0</v>
      </c>
      <c r="AM86" s="11" t="str">
        <f>ROUND(113.31*(1+AD6)*(1+AD5)+AD7,2)</f>
        <v>0</v>
      </c>
      <c r="AN86" s="11" t="str">
        <f>ROUND(124.85*(1+AD6)*(1+AD5)+AD7,2)</f>
        <v>0</v>
      </c>
      <c r="AO86" s="11" t="str">
        <f>ROUND(136.39*(1+AD6)*(1+AD5)+AD7,2)</f>
        <v>0</v>
      </c>
      <c r="AP86" s="11" t="str">
        <f>ROUND(148.04*(1+AD6)*(1+AD5)+AD7,2)</f>
        <v>0</v>
      </c>
      <c r="AQ86" s="11" t="str">
        <f>ROUND(158.94*(1+AD6)*(1+AD5)+AD7,2)</f>
        <v>0</v>
      </c>
      <c r="AR86" s="11" t="str">
        <f>ROUND(170.67*(1+AD6)*(1+AD5)+AD7,2)</f>
        <v>0</v>
      </c>
      <c r="AS86" s="11" t="str">
        <f>ROUND(181.49*(1+AD6)*(1+AD5)+AD7,2)</f>
        <v>0</v>
      </c>
      <c r="AT86" s="11" t="str">
        <f>ROUND(192.34*(1+AD6)*(1+AD5)+AD7,2)</f>
        <v>0</v>
      </c>
      <c r="AU86" s="11" t="str">
        <f>ROUND(203.12*(1+AD6)*(1+AD5)+AD7,2)</f>
        <v>0</v>
      </c>
      <c r="AV86" s="11" t="str">
        <f>ROUND(214.6*(1+AD6)*(1+AD5)+AD7,2)</f>
        <v>0</v>
      </c>
      <c r="AW86" s="11" t="str">
        <f>ROUND(227.19*(1+AD6)*(1+AD5)+AD7,2)</f>
        <v>0</v>
      </c>
      <c r="AX86" s="11" t="str">
        <f>ROUND(237.74*(1+AD6)*(1+AD5)+AD7,2)</f>
        <v>0</v>
      </c>
      <c r="AY86" s="11" t="str">
        <f>ROUND(248.78*(1+AD6)*(1+AD5)+AD7,2)</f>
        <v>0</v>
      </c>
      <c r="AZ86" s="11" t="str">
        <f>ROUND(259.42*(1+AD6)*(1+AD5)+AD7,2)</f>
        <v>0</v>
      </c>
      <c r="BA86" s="11" t="str">
        <f>ROUND(270.34*(1+AD6)*(1+AD5)+AD7,2)</f>
        <v>0</v>
      </c>
      <c r="BB86" s="11" t="str">
        <f>ROUND(283.62*(1+AD6)*(1+AD5)+AD7,2)</f>
        <v>0</v>
      </c>
      <c r="BC86" s="11" t="str">
        <f>ROUND(297.63*(1+AD6)*(1+AD5)+AD7,2)</f>
        <v>0</v>
      </c>
      <c r="BD86" s="11" t="str">
        <f>ROUND(310.69*(1+AD6)*(1+AD5)+AD7,2)</f>
        <v>0</v>
      </c>
      <c r="BE86" t="str">
        <f>ROUND(321.35*(1+AD6)*(1+AD5)+AD7,2)</f>
        <v>0</v>
      </c>
      <c r="BF86" t="str">
        <f>ROUND(331.68*(1+AD6)*(1+AD5)+AD7,2)</f>
        <v>0</v>
      </c>
    </row>
    <row r="87" spans="1:58">
      <c r="A87" s="11"/>
      <c r="B87" s="13"/>
      <c r="C87" s="17">
        <v>3000</v>
      </c>
      <c r="D87" s="11">
        <v>85.7</v>
      </c>
      <c r="E87" s="11">
        <v>96.77</v>
      </c>
      <c r="F87" s="11">
        <v>107.81</v>
      </c>
      <c r="G87" s="11">
        <v>118.98</v>
      </c>
      <c r="H87" s="11">
        <v>131.09</v>
      </c>
      <c r="I87" s="11">
        <v>143.21</v>
      </c>
      <c r="J87" s="11">
        <v>155.44</v>
      </c>
      <c r="K87" s="11">
        <v>166.89</v>
      </c>
      <c r="L87" s="11">
        <v>179.21</v>
      </c>
      <c r="M87" s="11">
        <v>190.56</v>
      </c>
      <c r="N87" s="11">
        <v>201.96</v>
      </c>
      <c r="O87" s="11">
        <v>213.27</v>
      </c>
      <c r="P87" s="11">
        <v>225.33</v>
      </c>
      <c r="Q87" s="11">
        <v>238.56</v>
      </c>
      <c r="R87" s="11">
        <v>249.63</v>
      </c>
      <c r="S87" s="11">
        <v>261.22</v>
      </c>
      <c r="T87" s="11">
        <v>272.4</v>
      </c>
      <c r="U87" s="11">
        <v>283.86</v>
      </c>
      <c r="V87" s="11">
        <v>297.8</v>
      </c>
      <c r="W87" s="11">
        <v>312.51</v>
      </c>
      <c r="X87" s="11">
        <v>326.23</v>
      </c>
      <c r="Y87" s="11">
        <v>337.42</v>
      </c>
      <c r="Z87" s="11">
        <v>348.26</v>
      </c>
      <c r="AA87" s="11"/>
      <c r="AB87" s="11"/>
      <c r="AC87" s="11"/>
      <c r="AD87" s="11"/>
      <c r="AE87" s="11"/>
      <c r="AF87" s="11"/>
      <c r="AG87" s="12"/>
      <c r="AH87" s="13"/>
      <c r="AI87" s="17">
        <v>3000</v>
      </c>
      <c r="AJ87" s="11" t="str">
        <f>ROUND(85.7*(1+AD6)*(1+AD5)+AD7,2)</f>
        <v>0</v>
      </c>
      <c r="AK87" s="11" t="str">
        <f>ROUND(96.77*(1+AD6)*(1+AD5)+AD7,2)</f>
        <v>0</v>
      </c>
      <c r="AL87" s="11" t="str">
        <f>ROUND(107.81*(1+AD6)*(1+AD5)+AD7,2)</f>
        <v>0</v>
      </c>
      <c r="AM87" s="11" t="str">
        <f>ROUND(118.98*(1+AD6)*(1+AD5)+AD7,2)</f>
        <v>0</v>
      </c>
      <c r="AN87" s="11" t="str">
        <f>ROUND(131.09*(1+AD6)*(1+AD5)+AD7,2)</f>
        <v>0</v>
      </c>
      <c r="AO87" s="11" t="str">
        <f>ROUND(143.21*(1+AD6)*(1+AD5)+AD7,2)</f>
        <v>0</v>
      </c>
      <c r="AP87" s="11" t="str">
        <f>ROUND(155.44*(1+AD6)*(1+AD5)+AD7,2)</f>
        <v>0</v>
      </c>
      <c r="AQ87" s="11" t="str">
        <f>ROUND(166.89*(1+AD6)*(1+AD5)+AD7,2)</f>
        <v>0</v>
      </c>
      <c r="AR87" s="11" t="str">
        <f>ROUND(179.21*(1+AD6)*(1+AD5)+AD7,2)</f>
        <v>0</v>
      </c>
      <c r="AS87" s="11" t="str">
        <f>ROUND(190.56*(1+AD6)*(1+AD5)+AD7,2)</f>
        <v>0</v>
      </c>
      <c r="AT87" s="11" t="str">
        <f>ROUND(201.96*(1+AD6)*(1+AD5)+AD7,2)</f>
        <v>0</v>
      </c>
      <c r="AU87" s="11" t="str">
        <f>ROUND(213.27*(1+AD6)*(1+AD5)+AD7,2)</f>
        <v>0</v>
      </c>
      <c r="AV87" s="11" t="str">
        <f>ROUND(225.33*(1+AD6)*(1+AD5)+AD7,2)</f>
        <v>0</v>
      </c>
      <c r="AW87" s="11" t="str">
        <f>ROUND(238.56*(1+AD6)*(1+AD5)+AD7,2)</f>
        <v>0</v>
      </c>
      <c r="AX87" s="11" t="str">
        <f>ROUND(249.63*(1+AD6)*(1+AD5)+AD7,2)</f>
        <v>0</v>
      </c>
      <c r="AY87" s="11" t="str">
        <f>ROUND(261.22*(1+AD6)*(1+AD5)+AD7,2)</f>
        <v>0</v>
      </c>
      <c r="AZ87" s="11" t="str">
        <f>ROUND(272.4*(1+AD6)*(1+AD5)+AD7,2)</f>
        <v>0</v>
      </c>
      <c r="BA87" s="11" t="str">
        <f>ROUND(283.86*(1+AD6)*(1+AD5)+AD7,2)</f>
        <v>0</v>
      </c>
      <c r="BB87" s="11" t="str">
        <f>ROUND(297.8*(1+AD6)*(1+AD5)+AD7,2)</f>
        <v>0</v>
      </c>
      <c r="BC87" s="11" t="str">
        <f>ROUND(312.51*(1+AD6)*(1+AD5)+AD7,2)</f>
        <v>0</v>
      </c>
      <c r="BD87" s="11" t="str">
        <f>ROUND(326.23*(1+AD6)*(1+AD5)+AD7,2)</f>
        <v>0</v>
      </c>
      <c r="BE87" t="str">
        <f>ROUND(337.42*(1+AD6)*(1+AD5)+AD7,2)</f>
        <v>0</v>
      </c>
      <c r="BF87" t="str">
        <f>ROUND(348.26*(1+AD6)*(1+AD5)+AD7,2)</f>
        <v>0</v>
      </c>
    </row>
    <row r="88" spans="1:58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2"/>
      <c r="AH88" s="12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8">
      <c r="A89" s="11"/>
      <c r="B89" s="12"/>
      <c r="C89" s="15" t="s">
        <v>23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1"/>
      <c r="AB89" s="11"/>
      <c r="AC89" s="11"/>
      <c r="AD89" s="11"/>
      <c r="AE89" s="11"/>
      <c r="AF89" s="11"/>
      <c r="AG89" s="12"/>
      <c r="AH89" s="12"/>
      <c r="AI89" s="15" t="s">
        <v>23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6"/>
      <c r="BF89" s="6"/>
    </row>
    <row r="90" spans="1:58">
      <c r="A90" s="11"/>
      <c r="B90" s="12"/>
      <c r="C90" s="15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1"/>
      <c r="AB90" s="11"/>
      <c r="AC90" s="11"/>
      <c r="AD90" s="11"/>
      <c r="AE90" s="11"/>
      <c r="AF90" s="11"/>
      <c r="AG90" s="12"/>
      <c r="AH90" s="12"/>
      <c r="AI90" s="15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6"/>
      <c r="BF90" s="6"/>
    </row>
    <row r="91" spans="1:58">
      <c r="A91" s="11"/>
      <c r="B91" s="12"/>
      <c r="C91" s="16" t="s">
        <v>16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1"/>
      <c r="AB91" s="11"/>
      <c r="AC91" s="11"/>
      <c r="AD91" s="11"/>
      <c r="AE91" s="11"/>
      <c r="AF91" s="11"/>
      <c r="AG91" s="12"/>
      <c r="AH91" s="12"/>
      <c r="AI91" s="16" t="s">
        <v>16</v>
      </c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7"/>
      <c r="BF91" s="7"/>
    </row>
    <row r="92" spans="1:58">
      <c r="A92" s="11"/>
      <c r="B92" s="13"/>
      <c r="C92" s="17" t="s">
        <v>17</v>
      </c>
      <c r="D92" s="17">
        <v>300</v>
      </c>
      <c r="E92" s="17">
        <v>400</v>
      </c>
      <c r="F92" s="17">
        <v>500</v>
      </c>
      <c r="G92" s="17">
        <v>600</v>
      </c>
      <c r="H92" s="17">
        <v>700</v>
      </c>
      <c r="I92" s="17">
        <v>800</v>
      </c>
      <c r="J92" s="17">
        <v>900</v>
      </c>
      <c r="K92" s="17">
        <v>1000</v>
      </c>
      <c r="L92" s="17">
        <v>1100</v>
      </c>
      <c r="M92" s="17">
        <v>1200</v>
      </c>
      <c r="N92" s="17">
        <v>1300</v>
      </c>
      <c r="O92" s="17">
        <v>1400</v>
      </c>
      <c r="P92" s="17">
        <v>1500</v>
      </c>
      <c r="Q92" s="17">
        <v>1600</v>
      </c>
      <c r="R92" s="17">
        <v>1700</v>
      </c>
      <c r="S92" s="17">
        <v>1800</v>
      </c>
      <c r="T92" s="17">
        <v>1900</v>
      </c>
      <c r="U92" s="17">
        <v>2000</v>
      </c>
      <c r="V92" s="17">
        <v>2100</v>
      </c>
      <c r="W92" s="17">
        <v>2200</v>
      </c>
      <c r="X92" s="17">
        <v>2300</v>
      </c>
      <c r="Y92" s="17">
        <v>2400</v>
      </c>
      <c r="Z92" s="17">
        <v>2500</v>
      </c>
      <c r="AA92" s="11"/>
      <c r="AB92" s="11"/>
      <c r="AC92" s="11"/>
      <c r="AD92" s="11"/>
      <c r="AE92" s="11"/>
      <c r="AF92" s="11"/>
      <c r="AG92" s="12"/>
      <c r="AH92" s="13"/>
      <c r="AI92" s="17" t="s">
        <v>17</v>
      </c>
      <c r="AJ92" s="17">
        <v>300</v>
      </c>
      <c r="AK92" s="17">
        <v>400</v>
      </c>
      <c r="AL92" s="17">
        <v>500</v>
      </c>
      <c r="AM92" s="17">
        <v>600</v>
      </c>
      <c r="AN92" s="17">
        <v>700</v>
      </c>
      <c r="AO92" s="17">
        <v>800</v>
      </c>
      <c r="AP92" s="17">
        <v>900</v>
      </c>
      <c r="AQ92" s="17">
        <v>1000</v>
      </c>
      <c r="AR92" s="17">
        <v>1100</v>
      </c>
      <c r="AS92" s="17">
        <v>1200</v>
      </c>
      <c r="AT92" s="17">
        <v>1300</v>
      </c>
      <c r="AU92" s="17">
        <v>1400</v>
      </c>
      <c r="AV92" s="17">
        <v>1500</v>
      </c>
      <c r="AW92" s="17">
        <v>1600</v>
      </c>
      <c r="AX92" s="17">
        <v>1700</v>
      </c>
      <c r="AY92" s="17">
        <v>1800</v>
      </c>
      <c r="AZ92" s="17">
        <v>1900</v>
      </c>
      <c r="BA92" s="17">
        <v>2000</v>
      </c>
      <c r="BB92" s="17">
        <v>2100</v>
      </c>
      <c r="BC92" s="17">
        <v>2200</v>
      </c>
      <c r="BD92" s="17">
        <v>2300</v>
      </c>
      <c r="BE92" s="8">
        <v>2400</v>
      </c>
      <c r="BF92" s="8">
        <v>2500</v>
      </c>
    </row>
    <row r="93" spans="1:58">
      <c r="A93" s="11"/>
      <c r="B93" s="13" t="s">
        <v>18</v>
      </c>
      <c r="C93" s="17">
        <v>1000</v>
      </c>
      <c r="D93" s="11">
        <v>68.19</v>
      </c>
      <c r="E93" s="11">
        <v>75.73</v>
      </c>
      <c r="F93" s="11">
        <v>83.25</v>
      </c>
      <c r="G93" s="11">
        <v>90.89</v>
      </c>
      <c r="H93" s="11">
        <v>99.28</v>
      </c>
      <c r="I93" s="11">
        <v>107.68</v>
      </c>
      <c r="J93" s="11">
        <v>116.13</v>
      </c>
      <c r="K93" s="11">
        <v>123.96</v>
      </c>
      <c r="L93" s="11">
        <v>132.65</v>
      </c>
      <c r="M93" s="11">
        <v>140.41</v>
      </c>
      <c r="N93" s="11">
        <v>148.24</v>
      </c>
      <c r="O93" s="11">
        <v>155.97</v>
      </c>
      <c r="P93" s="11">
        <v>164.33</v>
      </c>
      <c r="Q93" s="11">
        <v>173.67</v>
      </c>
      <c r="R93" s="11">
        <v>181.25</v>
      </c>
      <c r="S93" s="11">
        <v>189.2</v>
      </c>
      <c r="T93" s="11">
        <v>196.85</v>
      </c>
      <c r="U93" s="11">
        <v>204.69</v>
      </c>
      <c r="V93" s="11">
        <v>214.67</v>
      </c>
      <c r="W93" s="11">
        <v>225.07</v>
      </c>
      <c r="X93" s="11">
        <v>234.65</v>
      </c>
      <c r="Y93" s="11">
        <v>242.33</v>
      </c>
      <c r="Z93" s="11">
        <v>250.17</v>
      </c>
      <c r="AA93" s="11"/>
      <c r="AB93" s="11"/>
      <c r="AC93" s="11"/>
      <c r="AD93" s="11"/>
      <c r="AE93" s="11"/>
      <c r="AF93" s="11"/>
      <c r="AG93" s="12"/>
      <c r="AH93" s="13" t="s">
        <v>18</v>
      </c>
      <c r="AI93" s="17">
        <v>1000</v>
      </c>
      <c r="AJ93" s="11" t="str">
        <f>ROUND(68.19*(1+AD6)*(1+AD5)+AD7,2)</f>
        <v>0</v>
      </c>
      <c r="AK93" s="11" t="str">
        <f>ROUND(75.73*(1+AD6)*(1+AD5)+AD7,2)</f>
        <v>0</v>
      </c>
      <c r="AL93" s="11" t="str">
        <f>ROUND(83.25*(1+AD6)*(1+AD5)+AD7,2)</f>
        <v>0</v>
      </c>
      <c r="AM93" s="11" t="str">
        <f>ROUND(90.89*(1+AD6)*(1+AD5)+AD7,2)</f>
        <v>0</v>
      </c>
      <c r="AN93" s="11" t="str">
        <f>ROUND(99.28*(1+AD6)*(1+AD5)+AD7,2)</f>
        <v>0</v>
      </c>
      <c r="AO93" s="11" t="str">
        <f>ROUND(107.68*(1+AD6)*(1+AD5)+AD7,2)</f>
        <v>0</v>
      </c>
      <c r="AP93" s="11" t="str">
        <f>ROUND(116.13*(1+AD6)*(1+AD5)+AD7,2)</f>
        <v>0</v>
      </c>
      <c r="AQ93" s="11" t="str">
        <f>ROUND(123.96*(1+AD6)*(1+AD5)+AD7,2)</f>
        <v>0</v>
      </c>
      <c r="AR93" s="11" t="str">
        <f>ROUND(132.65*(1+AD6)*(1+AD5)+AD7,2)</f>
        <v>0</v>
      </c>
      <c r="AS93" s="11" t="str">
        <f>ROUND(140.41*(1+AD6)*(1+AD5)+AD7,2)</f>
        <v>0</v>
      </c>
      <c r="AT93" s="11" t="str">
        <f>ROUND(148.24*(1+AD6)*(1+AD5)+AD7,2)</f>
        <v>0</v>
      </c>
      <c r="AU93" s="11" t="str">
        <f>ROUND(155.97*(1+AD6)*(1+AD5)+AD7,2)</f>
        <v>0</v>
      </c>
      <c r="AV93" s="11" t="str">
        <f>ROUND(164.33*(1+AD6)*(1+AD5)+AD7,2)</f>
        <v>0</v>
      </c>
      <c r="AW93" s="11" t="str">
        <f>ROUND(173.67*(1+AD6)*(1+AD5)+AD7,2)</f>
        <v>0</v>
      </c>
      <c r="AX93" s="11" t="str">
        <f>ROUND(181.25*(1+AD6)*(1+AD5)+AD7,2)</f>
        <v>0</v>
      </c>
      <c r="AY93" s="11" t="str">
        <f>ROUND(189.2*(1+AD6)*(1+AD5)+AD7,2)</f>
        <v>0</v>
      </c>
      <c r="AZ93" s="11" t="str">
        <f>ROUND(196.85*(1+AD6)*(1+AD5)+AD7,2)</f>
        <v>0</v>
      </c>
      <c r="BA93" s="11" t="str">
        <f>ROUND(204.69*(1+AD6)*(1+AD5)+AD7,2)</f>
        <v>0</v>
      </c>
      <c r="BB93" s="11" t="str">
        <f>ROUND(214.67*(1+AD6)*(1+AD5)+AD7,2)</f>
        <v>0</v>
      </c>
      <c r="BC93" s="11" t="str">
        <f>ROUND(225.07*(1+AD6)*(1+AD5)+AD7,2)</f>
        <v>0</v>
      </c>
      <c r="BD93" s="11" t="str">
        <f>ROUND(234.65*(1+AD6)*(1+AD5)+AD7,2)</f>
        <v>0</v>
      </c>
      <c r="BE93" t="str">
        <f>ROUND(242.33*(1+AD6)*(1+AD5)+AD7,2)</f>
        <v>0</v>
      </c>
      <c r="BF93" t="str">
        <f>ROUND(250.17*(1+AD6)*(1+AD5)+AD7,2)</f>
        <v>0</v>
      </c>
    </row>
    <row r="94" spans="1:58">
      <c r="A94" s="11"/>
      <c r="B94" s="13"/>
      <c r="C94" s="17">
        <v>1100</v>
      </c>
      <c r="D94" s="11">
        <v>68.82</v>
      </c>
      <c r="E94" s="11">
        <v>76.53</v>
      </c>
      <c r="F94" s="11">
        <v>84.24</v>
      </c>
      <c r="G94" s="11">
        <v>92.05</v>
      </c>
      <c r="H94" s="11">
        <v>100.59</v>
      </c>
      <c r="I94" s="11">
        <v>109.18</v>
      </c>
      <c r="J94" s="11">
        <v>117.79</v>
      </c>
      <c r="K94" s="11">
        <v>125.82</v>
      </c>
      <c r="L94" s="11">
        <v>134.69</v>
      </c>
      <c r="M94" s="11">
        <v>142.67</v>
      </c>
      <c r="N94" s="11">
        <v>150.63</v>
      </c>
      <c r="O94" s="11">
        <v>158.59</v>
      </c>
      <c r="P94" s="11">
        <v>167.08</v>
      </c>
      <c r="Q94" s="11">
        <v>176.63</v>
      </c>
      <c r="R94" s="11">
        <v>184.32</v>
      </c>
      <c r="S94" s="11">
        <v>192.47</v>
      </c>
      <c r="T94" s="11">
        <v>200.28</v>
      </c>
      <c r="U94" s="11">
        <v>208.33</v>
      </c>
      <c r="V94" s="11">
        <v>218.47</v>
      </c>
      <c r="W94" s="11">
        <v>229.08</v>
      </c>
      <c r="X94" s="11">
        <v>238.84</v>
      </c>
      <c r="Y94" s="11">
        <v>246.67</v>
      </c>
      <c r="Z94" s="11">
        <v>254.62</v>
      </c>
      <c r="AA94" s="11"/>
      <c r="AB94" s="11"/>
      <c r="AC94" s="11"/>
      <c r="AD94" s="11"/>
      <c r="AE94" s="11"/>
      <c r="AF94" s="11"/>
      <c r="AG94" s="12"/>
      <c r="AH94" s="13"/>
      <c r="AI94" s="17">
        <v>1100</v>
      </c>
      <c r="AJ94" s="11" t="str">
        <f>ROUND(68.82*(1+AD6)*(1+AD5)+AD7,2)</f>
        <v>0</v>
      </c>
      <c r="AK94" s="11" t="str">
        <f>ROUND(76.53*(1+AD6)*(1+AD5)+AD7,2)</f>
        <v>0</v>
      </c>
      <c r="AL94" s="11" t="str">
        <f>ROUND(84.24*(1+AD6)*(1+AD5)+AD7,2)</f>
        <v>0</v>
      </c>
      <c r="AM94" s="11" t="str">
        <f>ROUND(92.05*(1+AD6)*(1+AD5)+AD7,2)</f>
        <v>0</v>
      </c>
      <c r="AN94" s="11" t="str">
        <f>ROUND(100.59*(1+AD6)*(1+AD5)+AD7,2)</f>
        <v>0</v>
      </c>
      <c r="AO94" s="11" t="str">
        <f>ROUND(109.18*(1+AD6)*(1+AD5)+AD7,2)</f>
        <v>0</v>
      </c>
      <c r="AP94" s="11" t="str">
        <f>ROUND(117.79*(1+AD6)*(1+AD5)+AD7,2)</f>
        <v>0</v>
      </c>
      <c r="AQ94" s="11" t="str">
        <f>ROUND(125.82*(1+AD6)*(1+AD5)+AD7,2)</f>
        <v>0</v>
      </c>
      <c r="AR94" s="11" t="str">
        <f>ROUND(134.69*(1+AD6)*(1+AD5)+AD7,2)</f>
        <v>0</v>
      </c>
      <c r="AS94" s="11" t="str">
        <f>ROUND(142.67*(1+AD6)*(1+AD5)+AD7,2)</f>
        <v>0</v>
      </c>
      <c r="AT94" s="11" t="str">
        <f>ROUND(150.63*(1+AD6)*(1+AD5)+AD7,2)</f>
        <v>0</v>
      </c>
      <c r="AU94" s="11" t="str">
        <f>ROUND(158.59*(1+AD6)*(1+AD5)+AD7,2)</f>
        <v>0</v>
      </c>
      <c r="AV94" s="11" t="str">
        <f>ROUND(167.08*(1+AD6)*(1+AD5)+AD7,2)</f>
        <v>0</v>
      </c>
      <c r="AW94" s="11" t="str">
        <f>ROUND(176.63*(1+AD6)*(1+AD5)+AD7,2)</f>
        <v>0</v>
      </c>
      <c r="AX94" s="11" t="str">
        <f>ROUND(184.32*(1+AD6)*(1+AD5)+AD7,2)</f>
        <v>0</v>
      </c>
      <c r="AY94" s="11" t="str">
        <f>ROUND(192.47*(1+AD6)*(1+AD5)+AD7,2)</f>
        <v>0</v>
      </c>
      <c r="AZ94" s="11" t="str">
        <f>ROUND(200.28*(1+AD6)*(1+AD5)+AD7,2)</f>
        <v>0</v>
      </c>
      <c r="BA94" s="11" t="str">
        <f>ROUND(208.33*(1+AD6)*(1+AD5)+AD7,2)</f>
        <v>0</v>
      </c>
      <c r="BB94" s="11" t="str">
        <f>ROUND(218.47*(1+AD6)*(1+AD5)+AD7,2)</f>
        <v>0</v>
      </c>
      <c r="BC94" s="11" t="str">
        <f>ROUND(229.08*(1+AD6)*(1+AD5)+AD7,2)</f>
        <v>0</v>
      </c>
      <c r="BD94" s="11" t="str">
        <f>ROUND(238.84*(1+AD6)*(1+AD5)+AD7,2)</f>
        <v>0</v>
      </c>
      <c r="BE94" t="str">
        <f>ROUND(246.67*(1+AD6)*(1+AD5)+AD7,2)</f>
        <v>0</v>
      </c>
      <c r="BF94" t="str">
        <f>ROUND(254.62*(1+AD6)*(1+AD5)+AD7,2)</f>
        <v>0</v>
      </c>
    </row>
    <row r="95" spans="1:58">
      <c r="A95" s="11"/>
      <c r="B95" s="13"/>
      <c r="C95" s="17">
        <v>1200</v>
      </c>
      <c r="D95" s="11">
        <v>69.45</v>
      </c>
      <c r="E95" s="11">
        <v>77.35</v>
      </c>
      <c r="F95" s="11">
        <v>85.23</v>
      </c>
      <c r="G95" s="11">
        <v>93.2</v>
      </c>
      <c r="H95" s="11">
        <v>101.91</v>
      </c>
      <c r="I95" s="11">
        <v>110.68</v>
      </c>
      <c r="J95" s="11">
        <v>119.5</v>
      </c>
      <c r="K95" s="11">
        <v>127.7</v>
      </c>
      <c r="L95" s="11">
        <v>136.76</v>
      </c>
      <c r="M95" s="11">
        <v>144.89</v>
      </c>
      <c r="N95" s="11">
        <v>155.7</v>
      </c>
      <c r="O95" s="11">
        <v>161.14</v>
      </c>
      <c r="P95" s="11">
        <v>169.81</v>
      </c>
      <c r="Q95" s="11">
        <v>179.52</v>
      </c>
      <c r="R95" s="11">
        <v>187.43</v>
      </c>
      <c r="S95" s="11">
        <v>195.77</v>
      </c>
      <c r="T95" s="11">
        <v>203.73</v>
      </c>
      <c r="U95" s="11">
        <v>211.97</v>
      </c>
      <c r="V95" s="11">
        <v>222.27</v>
      </c>
      <c r="W95" s="11">
        <v>233.04</v>
      </c>
      <c r="X95" s="11">
        <v>243</v>
      </c>
      <c r="Y95" s="11">
        <v>251.03</v>
      </c>
      <c r="Z95" s="11">
        <v>259.1</v>
      </c>
      <c r="AA95" s="11"/>
      <c r="AB95" s="11"/>
      <c r="AC95" s="11"/>
      <c r="AD95" s="11"/>
      <c r="AE95" s="11"/>
      <c r="AF95" s="11"/>
      <c r="AG95" s="12"/>
      <c r="AH95" s="13"/>
      <c r="AI95" s="17">
        <v>1200</v>
      </c>
      <c r="AJ95" s="11" t="str">
        <f>ROUND(69.45*(1+AD6)*(1+AD5)+AD7,2)</f>
        <v>0</v>
      </c>
      <c r="AK95" s="11" t="str">
        <f>ROUND(77.35*(1+AD6)*(1+AD5)+AD7,2)</f>
        <v>0</v>
      </c>
      <c r="AL95" s="11" t="str">
        <f>ROUND(85.23*(1+AD6)*(1+AD5)+AD7,2)</f>
        <v>0</v>
      </c>
      <c r="AM95" s="11" t="str">
        <f>ROUND(93.2*(1+AD6)*(1+AD5)+AD7,2)</f>
        <v>0</v>
      </c>
      <c r="AN95" s="11" t="str">
        <f>ROUND(101.91*(1+AD6)*(1+AD5)+AD7,2)</f>
        <v>0</v>
      </c>
      <c r="AO95" s="11" t="str">
        <f>ROUND(110.68*(1+AD6)*(1+AD5)+AD7,2)</f>
        <v>0</v>
      </c>
      <c r="AP95" s="11" t="str">
        <f>ROUND(119.5*(1+AD6)*(1+AD5)+AD7,2)</f>
        <v>0</v>
      </c>
      <c r="AQ95" s="11" t="str">
        <f>ROUND(127.7*(1+AD6)*(1+AD5)+AD7,2)</f>
        <v>0</v>
      </c>
      <c r="AR95" s="11" t="str">
        <f>ROUND(136.76*(1+AD6)*(1+AD5)+AD7,2)</f>
        <v>0</v>
      </c>
      <c r="AS95" s="11" t="str">
        <f>ROUND(144.89*(1+AD6)*(1+AD5)+AD7,2)</f>
        <v>0</v>
      </c>
      <c r="AT95" s="11" t="str">
        <f>ROUND(155.7*(1+AD6)*(1+AD5)+AD7,2)</f>
        <v>0</v>
      </c>
      <c r="AU95" s="11" t="str">
        <f>ROUND(161.14*(1+AD6)*(1+AD5)+AD7,2)</f>
        <v>0</v>
      </c>
      <c r="AV95" s="11" t="str">
        <f>ROUND(169.81*(1+AD6)*(1+AD5)+AD7,2)</f>
        <v>0</v>
      </c>
      <c r="AW95" s="11" t="str">
        <f>ROUND(179.52*(1+AD6)*(1+AD5)+AD7,2)</f>
        <v>0</v>
      </c>
      <c r="AX95" s="11" t="str">
        <f>ROUND(187.43*(1+AD6)*(1+AD5)+AD7,2)</f>
        <v>0</v>
      </c>
      <c r="AY95" s="11" t="str">
        <f>ROUND(195.77*(1+AD6)*(1+AD5)+AD7,2)</f>
        <v>0</v>
      </c>
      <c r="AZ95" s="11" t="str">
        <f>ROUND(203.73*(1+AD6)*(1+AD5)+AD7,2)</f>
        <v>0</v>
      </c>
      <c r="BA95" s="11" t="str">
        <f>ROUND(211.97*(1+AD6)*(1+AD5)+AD7,2)</f>
        <v>0</v>
      </c>
      <c r="BB95" s="11" t="str">
        <f>ROUND(222.27*(1+AD6)*(1+AD5)+AD7,2)</f>
        <v>0</v>
      </c>
      <c r="BC95" s="11" t="str">
        <f>ROUND(233.04*(1+AD6)*(1+AD5)+AD7,2)</f>
        <v>0</v>
      </c>
      <c r="BD95" s="11" t="str">
        <f>ROUND(243*(1+AD6)*(1+AD5)+AD7,2)</f>
        <v>0</v>
      </c>
      <c r="BE95" t="str">
        <f>ROUND(251.03*(1+AD6)*(1+AD5)+AD7,2)</f>
        <v>0</v>
      </c>
      <c r="BF95" t="str">
        <f>ROUND(259.1*(1+AD6)*(1+AD5)+AD7,2)</f>
        <v>0</v>
      </c>
    </row>
    <row r="96" spans="1:58">
      <c r="A96" s="11"/>
      <c r="B96" s="13"/>
      <c r="C96" s="17">
        <v>1300</v>
      </c>
      <c r="D96" s="11">
        <v>70.06</v>
      </c>
      <c r="E96" s="11">
        <v>78.13</v>
      </c>
      <c r="F96" s="11">
        <v>86.22</v>
      </c>
      <c r="G96" s="11">
        <v>94.38</v>
      </c>
      <c r="H96" s="11">
        <v>103.26</v>
      </c>
      <c r="I96" s="11">
        <v>112.01</v>
      </c>
      <c r="J96" s="11">
        <v>121.16</v>
      </c>
      <c r="K96" s="11">
        <v>129.56</v>
      </c>
      <c r="L96" s="11">
        <v>138.81</v>
      </c>
      <c r="M96" s="11">
        <v>147.08</v>
      </c>
      <c r="N96" s="11">
        <v>155.43</v>
      </c>
      <c r="O96" s="11">
        <v>163.7</v>
      </c>
      <c r="P96" s="11">
        <v>172.56</v>
      </c>
      <c r="Q96" s="11">
        <v>182.47</v>
      </c>
      <c r="R96" s="11">
        <v>190.55</v>
      </c>
      <c r="S96" s="11">
        <v>199.02</v>
      </c>
      <c r="T96" s="11">
        <v>207.21</v>
      </c>
      <c r="U96" s="11">
        <v>215.58</v>
      </c>
      <c r="V96" s="11">
        <v>226.08</v>
      </c>
      <c r="W96" s="11">
        <v>237.05</v>
      </c>
      <c r="X96" s="11">
        <v>247.2</v>
      </c>
      <c r="Y96" s="11">
        <v>255.37</v>
      </c>
      <c r="Z96" s="11">
        <v>263.58</v>
      </c>
      <c r="AA96" s="11"/>
      <c r="AB96" s="11"/>
      <c r="AC96" s="11"/>
      <c r="AD96" s="11"/>
      <c r="AE96" s="11"/>
      <c r="AF96" s="11"/>
      <c r="AG96" s="12"/>
      <c r="AH96" s="13"/>
      <c r="AI96" s="17">
        <v>1300</v>
      </c>
      <c r="AJ96" s="11" t="str">
        <f>ROUND(70.06*(1+AD6)*(1+AD5)+AD7,2)</f>
        <v>0</v>
      </c>
      <c r="AK96" s="11" t="str">
        <f>ROUND(78.13*(1+AD6)*(1+AD5)+AD7,2)</f>
        <v>0</v>
      </c>
      <c r="AL96" s="11" t="str">
        <f>ROUND(86.22*(1+AD6)*(1+AD5)+AD7,2)</f>
        <v>0</v>
      </c>
      <c r="AM96" s="11" t="str">
        <f>ROUND(94.38*(1+AD6)*(1+AD5)+AD7,2)</f>
        <v>0</v>
      </c>
      <c r="AN96" s="11" t="str">
        <f>ROUND(103.26*(1+AD6)*(1+AD5)+AD7,2)</f>
        <v>0</v>
      </c>
      <c r="AO96" s="11" t="str">
        <f>ROUND(112.01*(1+AD6)*(1+AD5)+AD7,2)</f>
        <v>0</v>
      </c>
      <c r="AP96" s="11" t="str">
        <f>ROUND(121.16*(1+AD6)*(1+AD5)+AD7,2)</f>
        <v>0</v>
      </c>
      <c r="AQ96" s="11" t="str">
        <f>ROUND(129.56*(1+AD6)*(1+AD5)+AD7,2)</f>
        <v>0</v>
      </c>
      <c r="AR96" s="11" t="str">
        <f>ROUND(138.81*(1+AD6)*(1+AD5)+AD7,2)</f>
        <v>0</v>
      </c>
      <c r="AS96" s="11" t="str">
        <f>ROUND(147.08*(1+AD6)*(1+AD5)+AD7,2)</f>
        <v>0</v>
      </c>
      <c r="AT96" s="11" t="str">
        <f>ROUND(155.43*(1+AD6)*(1+AD5)+AD7,2)</f>
        <v>0</v>
      </c>
      <c r="AU96" s="11" t="str">
        <f>ROUND(163.7*(1+AD6)*(1+AD5)+AD7,2)</f>
        <v>0</v>
      </c>
      <c r="AV96" s="11" t="str">
        <f>ROUND(172.56*(1+AD6)*(1+AD5)+AD7,2)</f>
        <v>0</v>
      </c>
      <c r="AW96" s="11" t="str">
        <f>ROUND(182.47*(1+AD6)*(1+AD5)+AD7,2)</f>
        <v>0</v>
      </c>
      <c r="AX96" s="11" t="str">
        <f>ROUND(190.55*(1+AD6)*(1+AD5)+AD7,2)</f>
        <v>0</v>
      </c>
      <c r="AY96" s="11" t="str">
        <f>ROUND(199.02*(1+AD6)*(1+AD5)+AD7,2)</f>
        <v>0</v>
      </c>
      <c r="AZ96" s="11" t="str">
        <f>ROUND(207.21*(1+AD6)*(1+AD5)+AD7,2)</f>
        <v>0</v>
      </c>
      <c r="BA96" s="11" t="str">
        <f>ROUND(215.58*(1+AD6)*(1+AD5)+AD7,2)</f>
        <v>0</v>
      </c>
      <c r="BB96" s="11" t="str">
        <f>ROUND(226.08*(1+AD6)*(1+AD5)+AD7,2)</f>
        <v>0</v>
      </c>
      <c r="BC96" s="11" t="str">
        <f>ROUND(237.05*(1+AD6)*(1+AD5)+AD7,2)</f>
        <v>0</v>
      </c>
      <c r="BD96" s="11" t="str">
        <f>ROUND(247.2*(1+AD6)*(1+AD5)+AD7,2)</f>
        <v>0</v>
      </c>
      <c r="BE96" t="str">
        <f>ROUND(255.37*(1+AD6)*(1+AD5)+AD7,2)</f>
        <v>0</v>
      </c>
      <c r="BF96" t="str">
        <f>ROUND(263.58*(1+AD6)*(1+AD5)+AD7,2)</f>
        <v>0</v>
      </c>
    </row>
    <row r="97" spans="1:58">
      <c r="A97" s="11"/>
      <c r="B97" s="13"/>
      <c r="C97" s="17">
        <v>1400</v>
      </c>
      <c r="D97" s="11">
        <v>70.68</v>
      </c>
      <c r="E97" s="11">
        <v>78.96</v>
      </c>
      <c r="F97" s="11">
        <v>87.2</v>
      </c>
      <c r="G97" s="11">
        <v>95.52</v>
      </c>
      <c r="H97" s="11">
        <v>104.6</v>
      </c>
      <c r="I97" s="11">
        <v>113.71</v>
      </c>
      <c r="J97" s="11">
        <v>122.88</v>
      </c>
      <c r="K97" s="11">
        <v>131.44</v>
      </c>
      <c r="L97" s="11">
        <v>140.8</v>
      </c>
      <c r="M97" s="11">
        <v>149.31</v>
      </c>
      <c r="N97" s="11">
        <v>157.83</v>
      </c>
      <c r="O97" s="11">
        <v>166.28</v>
      </c>
      <c r="P97" s="11">
        <v>175.33</v>
      </c>
      <c r="Q97" s="11">
        <v>185.38</v>
      </c>
      <c r="R97" s="11">
        <v>193.62</v>
      </c>
      <c r="S97" s="11">
        <v>202.25</v>
      </c>
      <c r="T97" s="11">
        <v>210.65</v>
      </c>
      <c r="U97" s="11">
        <v>219.22</v>
      </c>
      <c r="V97" s="11">
        <v>229.88</v>
      </c>
      <c r="W97" s="11">
        <v>240.99</v>
      </c>
      <c r="X97" s="11">
        <v>251.36</v>
      </c>
      <c r="Y97" s="11">
        <v>259.71</v>
      </c>
      <c r="Z97" s="11">
        <v>268.05</v>
      </c>
      <c r="AA97" s="11"/>
      <c r="AB97" s="11"/>
      <c r="AC97" s="11"/>
      <c r="AD97" s="11"/>
      <c r="AE97" s="11"/>
      <c r="AF97" s="11"/>
      <c r="AG97" s="12"/>
      <c r="AH97" s="13"/>
      <c r="AI97" s="17">
        <v>1400</v>
      </c>
      <c r="AJ97" s="11" t="str">
        <f>ROUND(70.68*(1+AD6)*(1+AD5)+AD7,2)</f>
        <v>0</v>
      </c>
      <c r="AK97" s="11" t="str">
        <f>ROUND(78.96*(1+AD6)*(1+AD5)+AD7,2)</f>
        <v>0</v>
      </c>
      <c r="AL97" s="11" t="str">
        <f>ROUND(87.2*(1+AD6)*(1+AD5)+AD7,2)</f>
        <v>0</v>
      </c>
      <c r="AM97" s="11" t="str">
        <f>ROUND(95.52*(1+AD6)*(1+AD5)+AD7,2)</f>
        <v>0</v>
      </c>
      <c r="AN97" s="11" t="str">
        <f>ROUND(104.6*(1+AD6)*(1+AD5)+AD7,2)</f>
        <v>0</v>
      </c>
      <c r="AO97" s="11" t="str">
        <f>ROUND(113.71*(1+AD6)*(1+AD5)+AD7,2)</f>
        <v>0</v>
      </c>
      <c r="AP97" s="11" t="str">
        <f>ROUND(122.88*(1+AD6)*(1+AD5)+AD7,2)</f>
        <v>0</v>
      </c>
      <c r="AQ97" s="11" t="str">
        <f>ROUND(131.44*(1+AD6)*(1+AD5)+AD7,2)</f>
        <v>0</v>
      </c>
      <c r="AR97" s="11" t="str">
        <f>ROUND(140.8*(1+AD6)*(1+AD5)+AD7,2)</f>
        <v>0</v>
      </c>
      <c r="AS97" s="11" t="str">
        <f>ROUND(149.31*(1+AD6)*(1+AD5)+AD7,2)</f>
        <v>0</v>
      </c>
      <c r="AT97" s="11" t="str">
        <f>ROUND(157.83*(1+AD6)*(1+AD5)+AD7,2)</f>
        <v>0</v>
      </c>
      <c r="AU97" s="11" t="str">
        <f>ROUND(166.28*(1+AD6)*(1+AD5)+AD7,2)</f>
        <v>0</v>
      </c>
      <c r="AV97" s="11" t="str">
        <f>ROUND(175.33*(1+AD6)*(1+AD5)+AD7,2)</f>
        <v>0</v>
      </c>
      <c r="AW97" s="11" t="str">
        <f>ROUND(185.38*(1+AD6)*(1+AD5)+AD7,2)</f>
        <v>0</v>
      </c>
      <c r="AX97" s="11" t="str">
        <f>ROUND(193.62*(1+AD6)*(1+AD5)+AD7,2)</f>
        <v>0</v>
      </c>
      <c r="AY97" s="11" t="str">
        <f>ROUND(202.25*(1+AD6)*(1+AD5)+AD7,2)</f>
        <v>0</v>
      </c>
      <c r="AZ97" s="11" t="str">
        <f>ROUND(210.65*(1+AD6)*(1+AD5)+AD7,2)</f>
        <v>0</v>
      </c>
      <c r="BA97" s="11" t="str">
        <f>ROUND(219.22*(1+AD6)*(1+AD5)+AD7,2)</f>
        <v>0</v>
      </c>
      <c r="BB97" s="11" t="str">
        <f>ROUND(229.88*(1+AD6)*(1+AD5)+AD7,2)</f>
        <v>0</v>
      </c>
      <c r="BC97" s="11" t="str">
        <f>ROUND(240.99*(1+AD6)*(1+AD5)+AD7,2)</f>
        <v>0</v>
      </c>
      <c r="BD97" s="11" t="str">
        <f>ROUND(251.36*(1+AD6)*(1+AD5)+AD7,2)</f>
        <v>0</v>
      </c>
      <c r="BE97" t="str">
        <f>ROUND(259.71*(1+AD6)*(1+AD5)+AD7,2)</f>
        <v>0</v>
      </c>
      <c r="BF97" t="str">
        <f>ROUND(268.05*(1+AD6)*(1+AD5)+AD7,2)</f>
        <v>0</v>
      </c>
    </row>
    <row r="98" spans="1:58">
      <c r="A98" s="11"/>
      <c r="B98" s="13"/>
      <c r="C98" s="17">
        <v>1500</v>
      </c>
      <c r="D98" s="11">
        <v>71.3</v>
      </c>
      <c r="E98" s="11">
        <v>79.75</v>
      </c>
      <c r="F98" s="11">
        <v>88.19</v>
      </c>
      <c r="G98" s="11">
        <v>96.67</v>
      </c>
      <c r="H98" s="11">
        <v>105.92</v>
      </c>
      <c r="I98" s="11">
        <v>115.22</v>
      </c>
      <c r="J98" s="11">
        <v>124.55</v>
      </c>
      <c r="K98" s="11">
        <v>133.32</v>
      </c>
      <c r="L98" s="11">
        <v>142.84</v>
      </c>
      <c r="M98" s="11">
        <v>151.55</v>
      </c>
      <c r="N98" s="11">
        <v>160.22</v>
      </c>
      <c r="O98" s="11">
        <v>168.83</v>
      </c>
      <c r="P98" s="11">
        <v>178.08</v>
      </c>
      <c r="Q98" s="11">
        <v>188.29</v>
      </c>
      <c r="R98" s="11">
        <v>196.75</v>
      </c>
      <c r="S98" s="11">
        <v>205.6</v>
      </c>
      <c r="T98" s="11">
        <v>214.12</v>
      </c>
      <c r="U98" s="11">
        <v>222.85</v>
      </c>
      <c r="V98" s="11">
        <v>233.72</v>
      </c>
      <c r="W98" s="11">
        <v>245.02</v>
      </c>
      <c r="X98" s="11">
        <v>255.53</v>
      </c>
      <c r="Y98" s="11">
        <v>264.06</v>
      </c>
      <c r="Z98" s="11">
        <v>272.53</v>
      </c>
      <c r="AA98" s="11"/>
      <c r="AB98" s="11"/>
      <c r="AC98" s="11"/>
      <c r="AD98" s="11"/>
      <c r="AE98" s="11"/>
      <c r="AF98" s="11"/>
      <c r="AG98" s="12"/>
      <c r="AH98" s="13"/>
      <c r="AI98" s="17">
        <v>1500</v>
      </c>
      <c r="AJ98" s="11" t="str">
        <f>ROUND(71.3*(1+AD6)*(1+AD5)+AD7,2)</f>
        <v>0</v>
      </c>
      <c r="AK98" s="11" t="str">
        <f>ROUND(79.75*(1+AD6)*(1+AD5)+AD7,2)</f>
        <v>0</v>
      </c>
      <c r="AL98" s="11" t="str">
        <f>ROUND(88.19*(1+AD6)*(1+AD5)+AD7,2)</f>
        <v>0</v>
      </c>
      <c r="AM98" s="11" t="str">
        <f>ROUND(96.67*(1+AD6)*(1+AD5)+AD7,2)</f>
        <v>0</v>
      </c>
      <c r="AN98" s="11" t="str">
        <f>ROUND(105.92*(1+AD6)*(1+AD5)+AD7,2)</f>
        <v>0</v>
      </c>
      <c r="AO98" s="11" t="str">
        <f>ROUND(115.22*(1+AD6)*(1+AD5)+AD7,2)</f>
        <v>0</v>
      </c>
      <c r="AP98" s="11" t="str">
        <f>ROUND(124.55*(1+AD6)*(1+AD5)+AD7,2)</f>
        <v>0</v>
      </c>
      <c r="AQ98" s="11" t="str">
        <f>ROUND(133.32*(1+AD6)*(1+AD5)+AD7,2)</f>
        <v>0</v>
      </c>
      <c r="AR98" s="11" t="str">
        <f>ROUND(142.84*(1+AD6)*(1+AD5)+AD7,2)</f>
        <v>0</v>
      </c>
      <c r="AS98" s="11" t="str">
        <f>ROUND(151.55*(1+AD6)*(1+AD5)+AD7,2)</f>
        <v>0</v>
      </c>
      <c r="AT98" s="11" t="str">
        <f>ROUND(160.22*(1+AD6)*(1+AD5)+AD7,2)</f>
        <v>0</v>
      </c>
      <c r="AU98" s="11" t="str">
        <f>ROUND(168.83*(1+AD6)*(1+AD5)+AD7,2)</f>
        <v>0</v>
      </c>
      <c r="AV98" s="11" t="str">
        <f>ROUND(178.08*(1+AD6)*(1+AD5)+AD7,2)</f>
        <v>0</v>
      </c>
      <c r="AW98" s="11" t="str">
        <f>ROUND(188.29*(1+AD6)*(1+AD5)+AD7,2)</f>
        <v>0</v>
      </c>
      <c r="AX98" s="11" t="str">
        <f>ROUND(196.75*(1+AD6)*(1+AD5)+AD7,2)</f>
        <v>0</v>
      </c>
      <c r="AY98" s="11" t="str">
        <f>ROUND(205.6*(1+AD6)*(1+AD5)+AD7,2)</f>
        <v>0</v>
      </c>
      <c r="AZ98" s="11" t="str">
        <f>ROUND(214.12*(1+AD6)*(1+AD5)+AD7,2)</f>
        <v>0</v>
      </c>
      <c r="BA98" s="11" t="str">
        <f>ROUND(222.85*(1+AD6)*(1+AD5)+AD7,2)</f>
        <v>0</v>
      </c>
      <c r="BB98" s="11" t="str">
        <f>ROUND(233.72*(1+AD6)*(1+AD5)+AD7,2)</f>
        <v>0</v>
      </c>
      <c r="BC98" s="11" t="str">
        <f>ROUND(245.02*(1+AD6)*(1+AD5)+AD7,2)</f>
        <v>0</v>
      </c>
      <c r="BD98" s="11" t="str">
        <f>ROUND(255.53*(1+AD6)*(1+AD5)+AD7,2)</f>
        <v>0</v>
      </c>
      <c r="BE98" t="str">
        <f>ROUND(264.06*(1+AD6)*(1+AD5)+AD7,2)</f>
        <v>0</v>
      </c>
      <c r="BF98" t="str">
        <f>ROUND(272.53*(1+AD6)*(1+AD5)+AD7,2)</f>
        <v>0</v>
      </c>
    </row>
    <row r="99" spans="1:58">
      <c r="A99" s="11"/>
      <c r="B99" s="13"/>
      <c r="C99" s="17">
        <v>1600</v>
      </c>
      <c r="D99" s="11">
        <v>71.94</v>
      </c>
      <c r="E99" s="11">
        <v>80.57</v>
      </c>
      <c r="F99" s="11">
        <v>89.13</v>
      </c>
      <c r="G99" s="11">
        <v>97.81</v>
      </c>
      <c r="H99" s="11">
        <v>107.26</v>
      </c>
      <c r="I99" s="11">
        <v>116.73</v>
      </c>
      <c r="J99" s="11">
        <v>126.26</v>
      </c>
      <c r="K99" s="11">
        <v>135.15</v>
      </c>
      <c r="L99" s="11">
        <v>144.87</v>
      </c>
      <c r="M99" s="11">
        <v>153.73</v>
      </c>
      <c r="N99" s="11">
        <v>162.62</v>
      </c>
      <c r="O99" s="11">
        <v>171.44</v>
      </c>
      <c r="P99" s="11">
        <v>180.84</v>
      </c>
      <c r="Q99" s="11">
        <v>191.23</v>
      </c>
      <c r="R99" s="11">
        <v>199.83</v>
      </c>
      <c r="S99" s="11">
        <v>208.88</v>
      </c>
      <c r="T99" s="11">
        <v>217.59</v>
      </c>
      <c r="U99" s="11">
        <v>226.51</v>
      </c>
      <c r="V99" s="11">
        <v>237.53</v>
      </c>
      <c r="W99" s="11">
        <v>249.01</v>
      </c>
      <c r="X99" s="11">
        <v>259.71</v>
      </c>
      <c r="Y99" s="11">
        <v>268.4</v>
      </c>
      <c r="Z99" s="11">
        <v>276.98</v>
      </c>
      <c r="AA99" s="11"/>
      <c r="AB99" s="11"/>
      <c r="AC99" s="11"/>
      <c r="AD99" s="11"/>
      <c r="AE99" s="11"/>
      <c r="AF99" s="11"/>
      <c r="AG99" s="12"/>
      <c r="AH99" s="13"/>
      <c r="AI99" s="17">
        <v>1600</v>
      </c>
      <c r="AJ99" s="11" t="str">
        <f>ROUND(71.94*(1+AD6)*(1+AD5)+AD7,2)</f>
        <v>0</v>
      </c>
      <c r="AK99" s="11" t="str">
        <f>ROUND(80.57*(1+AD6)*(1+AD5)+AD7,2)</f>
        <v>0</v>
      </c>
      <c r="AL99" s="11" t="str">
        <f>ROUND(89.13*(1+AD6)*(1+AD5)+AD7,2)</f>
        <v>0</v>
      </c>
      <c r="AM99" s="11" t="str">
        <f>ROUND(97.81*(1+AD6)*(1+AD5)+AD7,2)</f>
        <v>0</v>
      </c>
      <c r="AN99" s="11" t="str">
        <f>ROUND(107.26*(1+AD6)*(1+AD5)+AD7,2)</f>
        <v>0</v>
      </c>
      <c r="AO99" s="11" t="str">
        <f>ROUND(116.73*(1+AD6)*(1+AD5)+AD7,2)</f>
        <v>0</v>
      </c>
      <c r="AP99" s="11" t="str">
        <f>ROUND(126.26*(1+AD6)*(1+AD5)+AD7,2)</f>
        <v>0</v>
      </c>
      <c r="AQ99" s="11" t="str">
        <f>ROUND(135.15*(1+AD6)*(1+AD5)+AD7,2)</f>
        <v>0</v>
      </c>
      <c r="AR99" s="11" t="str">
        <f>ROUND(144.87*(1+AD6)*(1+AD5)+AD7,2)</f>
        <v>0</v>
      </c>
      <c r="AS99" s="11" t="str">
        <f>ROUND(153.73*(1+AD6)*(1+AD5)+AD7,2)</f>
        <v>0</v>
      </c>
      <c r="AT99" s="11" t="str">
        <f>ROUND(162.62*(1+AD6)*(1+AD5)+AD7,2)</f>
        <v>0</v>
      </c>
      <c r="AU99" s="11" t="str">
        <f>ROUND(171.44*(1+AD6)*(1+AD5)+AD7,2)</f>
        <v>0</v>
      </c>
      <c r="AV99" s="11" t="str">
        <f>ROUND(180.84*(1+AD6)*(1+AD5)+AD7,2)</f>
        <v>0</v>
      </c>
      <c r="AW99" s="11" t="str">
        <f>ROUND(191.23*(1+AD6)*(1+AD5)+AD7,2)</f>
        <v>0</v>
      </c>
      <c r="AX99" s="11" t="str">
        <f>ROUND(199.83*(1+AD6)*(1+AD5)+AD7,2)</f>
        <v>0</v>
      </c>
      <c r="AY99" s="11" t="str">
        <f>ROUND(208.88*(1+AD6)*(1+AD5)+AD7,2)</f>
        <v>0</v>
      </c>
      <c r="AZ99" s="11" t="str">
        <f>ROUND(217.59*(1+AD6)*(1+AD5)+AD7,2)</f>
        <v>0</v>
      </c>
      <c r="BA99" s="11" t="str">
        <f>ROUND(226.51*(1+AD6)*(1+AD5)+AD7,2)</f>
        <v>0</v>
      </c>
      <c r="BB99" s="11" t="str">
        <f>ROUND(237.53*(1+AD6)*(1+AD5)+AD7,2)</f>
        <v>0</v>
      </c>
      <c r="BC99" s="11" t="str">
        <f>ROUND(249.01*(1+AD6)*(1+AD5)+AD7,2)</f>
        <v>0</v>
      </c>
      <c r="BD99" s="11" t="str">
        <f>ROUND(259.71*(1+AD6)*(1+AD5)+AD7,2)</f>
        <v>0</v>
      </c>
      <c r="BE99" t="str">
        <f>ROUND(268.4*(1+AD6)*(1+AD5)+AD7,2)</f>
        <v>0</v>
      </c>
      <c r="BF99" t="str">
        <f>ROUND(276.98*(1+AD6)*(1+AD5)+AD7,2)</f>
        <v>0</v>
      </c>
    </row>
    <row r="100" spans="1:58">
      <c r="A100" s="11"/>
      <c r="B100" s="13"/>
      <c r="C100" s="17">
        <v>1700</v>
      </c>
      <c r="D100" s="11">
        <v>72.53</v>
      </c>
      <c r="E100" s="11">
        <v>81.35</v>
      </c>
      <c r="F100" s="11">
        <v>90.12</v>
      </c>
      <c r="G100" s="11">
        <v>98.98</v>
      </c>
      <c r="H100" s="11">
        <v>108.6</v>
      </c>
      <c r="I100" s="11">
        <v>118.24</v>
      </c>
      <c r="J100" s="11">
        <v>127.91</v>
      </c>
      <c r="K100" s="11">
        <v>137.01</v>
      </c>
      <c r="L100" s="11">
        <v>146.96</v>
      </c>
      <c r="M100" s="11">
        <v>155.98</v>
      </c>
      <c r="N100" s="11">
        <v>165</v>
      </c>
      <c r="O100" s="11">
        <v>173.99</v>
      </c>
      <c r="P100" s="11">
        <v>183.61</v>
      </c>
      <c r="Q100" s="11">
        <v>194.15</v>
      </c>
      <c r="R100" s="11">
        <v>202.94</v>
      </c>
      <c r="S100" s="11">
        <v>212.15</v>
      </c>
      <c r="T100" s="11">
        <v>221.06</v>
      </c>
      <c r="U100" s="11">
        <v>230.14</v>
      </c>
      <c r="V100" s="11">
        <v>241.32</v>
      </c>
      <c r="W100" s="11">
        <v>252.99</v>
      </c>
      <c r="X100" s="11">
        <v>263.87</v>
      </c>
      <c r="Y100" s="11">
        <v>272.74</v>
      </c>
      <c r="Z100" s="11">
        <v>281.48</v>
      </c>
      <c r="AA100" s="11"/>
      <c r="AB100" s="11"/>
      <c r="AC100" s="11"/>
      <c r="AD100" s="11"/>
      <c r="AE100" s="11"/>
      <c r="AF100" s="11"/>
      <c r="AG100" s="12"/>
      <c r="AH100" s="13"/>
      <c r="AI100" s="17">
        <v>1700</v>
      </c>
      <c r="AJ100" s="11" t="str">
        <f>ROUND(72.53*(1+AD6)*(1+AD5)+AD7,2)</f>
        <v>0</v>
      </c>
      <c r="AK100" s="11" t="str">
        <f>ROUND(81.35*(1+AD6)*(1+AD5)+AD7,2)</f>
        <v>0</v>
      </c>
      <c r="AL100" s="11" t="str">
        <f>ROUND(90.12*(1+AD6)*(1+AD5)+AD7,2)</f>
        <v>0</v>
      </c>
      <c r="AM100" s="11" t="str">
        <f>ROUND(98.98*(1+AD6)*(1+AD5)+AD7,2)</f>
        <v>0</v>
      </c>
      <c r="AN100" s="11" t="str">
        <f>ROUND(108.6*(1+AD6)*(1+AD5)+AD7,2)</f>
        <v>0</v>
      </c>
      <c r="AO100" s="11" t="str">
        <f>ROUND(118.24*(1+AD6)*(1+AD5)+AD7,2)</f>
        <v>0</v>
      </c>
      <c r="AP100" s="11" t="str">
        <f>ROUND(127.91*(1+AD6)*(1+AD5)+AD7,2)</f>
        <v>0</v>
      </c>
      <c r="AQ100" s="11" t="str">
        <f>ROUND(137.01*(1+AD6)*(1+AD5)+AD7,2)</f>
        <v>0</v>
      </c>
      <c r="AR100" s="11" t="str">
        <f>ROUND(146.96*(1+AD6)*(1+AD5)+AD7,2)</f>
        <v>0</v>
      </c>
      <c r="AS100" s="11" t="str">
        <f>ROUND(155.98*(1+AD6)*(1+AD5)+AD7,2)</f>
        <v>0</v>
      </c>
      <c r="AT100" s="11" t="str">
        <f>ROUND(165*(1+AD6)*(1+AD5)+AD7,2)</f>
        <v>0</v>
      </c>
      <c r="AU100" s="11" t="str">
        <f>ROUND(173.99*(1+AD6)*(1+AD5)+AD7,2)</f>
        <v>0</v>
      </c>
      <c r="AV100" s="11" t="str">
        <f>ROUND(183.61*(1+AD6)*(1+AD5)+AD7,2)</f>
        <v>0</v>
      </c>
      <c r="AW100" s="11" t="str">
        <f>ROUND(194.15*(1+AD6)*(1+AD5)+AD7,2)</f>
        <v>0</v>
      </c>
      <c r="AX100" s="11" t="str">
        <f>ROUND(202.94*(1+AD6)*(1+AD5)+AD7,2)</f>
        <v>0</v>
      </c>
      <c r="AY100" s="11" t="str">
        <f>ROUND(212.15*(1+AD6)*(1+AD5)+AD7,2)</f>
        <v>0</v>
      </c>
      <c r="AZ100" s="11" t="str">
        <f>ROUND(221.06*(1+AD6)*(1+AD5)+AD7,2)</f>
        <v>0</v>
      </c>
      <c r="BA100" s="11" t="str">
        <f>ROUND(230.14*(1+AD6)*(1+AD5)+AD7,2)</f>
        <v>0</v>
      </c>
      <c r="BB100" s="11" t="str">
        <f>ROUND(241.32*(1+AD6)*(1+AD5)+AD7,2)</f>
        <v>0</v>
      </c>
      <c r="BC100" s="11" t="str">
        <f>ROUND(252.99*(1+AD6)*(1+AD5)+AD7,2)</f>
        <v>0</v>
      </c>
      <c r="BD100" s="11" t="str">
        <f>ROUND(263.87*(1+AD6)*(1+AD5)+AD7,2)</f>
        <v>0</v>
      </c>
      <c r="BE100" t="str">
        <f>ROUND(272.74*(1+AD6)*(1+AD5)+AD7,2)</f>
        <v>0</v>
      </c>
      <c r="BF100" t="str">
        <f>ROUND(281.48*(1+AD6)*(1+AD5)+AD7,2)</f>
        <v>0</v>
      </c>
    </row>
    <row r="101" spans="1:58">
      <c r="A101" s="11"/>
      <c r="B101" s="13"/>
      <c r="C101" s="17">
        <v>1800</v>
      </c>
      <c r="D101" s="11">
        <v>73.16</v>
      </c>
      <c r="E101" s="11">
        <v>82.14</v>
      </c>
      <c r="F101" s="11">
        <v>91.1</v>
      </c>
      <c r="G101" s="11">
        <v>100.16</v>
      </c>
      <c r="H101" s="11">
        <v>109.92</v>
      </c>
      <c r="I101" s="11">
        <v>119.74</v>
      </c>
      <c r="J101" s="11">
        <v>129.64</v>
      </c>
      <c r="K101" s="11">
        <v>138.89</v>
      </c>
      <c r="L101" s="11">
        <v>148.99</v>
      </c>
      <c r="M101" s="11">
        <v>158.2</v>
      </c>
      <c r="N101" s="11">
        <v>167.39</v>
      </c>
      <c r="O101" s="11">
        <v>176.58</v>
      </c>
      <c r="P101" s="11">
        <v>186.32</v>
      </c>
      <c r="Q101" s="11">
        <v>197.08</v>
      </c>
      <c r="R101" s="11">
        <v>206.05</v>
      </c>
      <c r="S101" s="11">
        <v>215.42</v>
      </c>
      <c r="T101" s="11">
        <v>224.49</v>
      </c>
      <c r="U101" s="11">
        <v>233.79</v>
      </c>
      <c r="V101" s="11">
        <v>245.14</v>
      </c>
      <c r="W101" s="11">
        <v>256.97</v>
      </c>
      <c r="X101" s="11">
        <v>268.03</v>
      </c>
      <c r="Y101" s="11">
        <v>277.1</v>
      </c>
      <c r="Z101" s="11">
        <v>285.95</v>
      </c>
      <c r="AA101" s="11"/>
      <c r="AB101" s="11"/>
      <c r="AC101" s="11"/>
      <c r="AD101" s="11"/>
      <c r="AE101" s="11"/>
      <c r="AF101" s="11"/>
      <c r="AG101" s="12"/>
      <c r="AH101" s="13"/>
      <c r="AI101" s="17">
        <v>1800</v>
      </c>
      <c r="AJ101" s="11" t="str">
        <f>ROUND(73.16*(1+AD6)*(1+AD5)+AD7,2)</f>
        <v>0</v>
      </c>
      <c r="AK101" s="11" t="str">
        <f>ROUND(82.14*(1+AD6)*(1+AD5)+AD7,2)</f>
        <v>0</v>
      </c>
      <c r="AL101" s="11" t="str">
        <f>ROUND(91.1*(1+AD6)*(1+AD5)+AD7,2)</f>
        <v>0</v>
      </c>
      <c r="AM101" s="11" t="str">
        <f>ROUND(100.16*(1+AD6)*(1+AD5)+AD7,2)</f>
        <v>0</v>
      </c>
      <c r="AN101" s="11" t="str">
        <f>ROUND(109.92*(1+AD6)*(1+AD5)+AD7,2)</f>
        <v>0</v>
      </c>
      <c r="AO101" s="11" t="str">
        <f>ROUND(119.74*(1+AD6)*(1+AD5)+AD7,2)</f>
        <v>0</v>
      </c>
      <c r="AP101" s="11" t="str">
        <f>ROUND(129.64*(1+AD6)*(1+AD5)+AD7,2)</f>
        <v>0</v>
      </c>
      <c r="AQ101" s="11" t="str">
        <f>ROUND(138.89*(1+AD6)*(1+AD5)+AD7,2)</f>
        <v>0</v>
      </c>
      <c r="AR101" s="11" t="str">
        <f>ROUND(148.99*(1+AD6)*(1+AD5)+AD7,2)</f>
        <v>0</v>
      </c>
      <c r="AS101" s="11" t="str">
        <f>ROUND(158.2*(1+AD6)*(1+AD5)+AD7,2)</f>
        <v>0</v>
      </c>
      <c r="AT101" s="11" t="str">
        <f>ROUND(167.39*(1+AD6)*(1+AD5)+AD7,2)</f>
        <v>0</v>
      </c>
      <c r="AU101" s="11" t="str">
        <f>ROUND(176.58*(1+AD6)*(1+AD5)+AD7,2)</f>
        <v>0</v>
      </c>
      <c r="AV101" s="11" t="str">
        <f>ROUND(186.32*(1+AD6)*(1+AD5)+AD7,2)</f>
        <v>0</v>
      </c>
      <c r="AW101" s="11" t="str">
        <f>ROUND(197.08*(1+AD6)*(1+AD5)+AD7,2)</f>
        <v>0</v>
      </c>
      <c r="AX101" s="11" t="str">
        <f>ROUND(206.05*(1+AD6)*(1+AD5)+AD7,2)</f>
        <v>0</v>
      </c>
      <c r="AY101" s="11" t="str">
        <f>ROUND(215.42*(1+AD6)*(1+AD5)+AD7,2)</f>
        <v>0</v>
      </c>
      <c r="AZ101" s="11" t="str">
        <f>ROUND(224.49*(1+AD6)*(1+AD5)+AD7,2)</f>
        <v>0</v>
      </c>
      <c r="BA101" s="11" t="str">
        <f>ROUND(233.79*(1+AD6)*(1+AD5)+AD7,2)</f>
        <v>0</v>
      </c>
      <c r="BB101" s="11" t="str">
        <f>ROUND(245.14*(1+AD6)*(1+AD5)+AD7,2)</f>
        <v>0</v>
      </c>
      <c r="BC101" s="11" t="str">
        <f>ROUND(256.97*(1+AD6)*(1+AD5)+AD7,2)</f>
        <v>0</v>
      </c>
      <c r="BD101" s="11" t="str">
        <f>ROUND(268.03*(1+AD6)*(1+AD5)+AD7,2)</f>
        <v>0</v>
      </c>
      <c r="BE101" t="str">
        <f>ROUND(277.1*(1+AD6)*(1+AD5)+AD7,2)</f>
        <v>0</v>
      </c>
      <c r="BF101" t="str">
        <f>ROUND(285.95*(1+AD6)*(1+AD5)+AD7,2)</f>
        <v>0</v>
      </c>
    </row>
    <row r="102" spans="1:58">
      <c r="A102" s="11"/>
      <c r="B102" s="13"/>
      <c r="C102" s="17">
        <v>1900</v>
      </c>
      <c r="D102" s="11">
        <v>73.8</v>
      </c>
      <c r="E102" s="11">
        <v>82.97</v>
      </c>
      <c r="F102" s="11">
        <v>92.09</v>
      </c>
      <c r="G102" s="11">
        <v>101.3</v>
      </c>
      <c r="H102" s="11">
        <v>111.27</v>
      </c>
      <c r="I102" s="11">
        <v>121.26</v>
      </c>
      <c r="J102" s="11">
        <v>131.31</v>
      </c>
      <c r="K102" s="11">
        <v>140.69</v>
      </c>
      <c r="L102" s="11">
        <v>151.01</v>
      </c>
      <c r="M102" s="11">
        <v>160.41</v>
      </c>
      <c r="N102" s="11">
        <v>169.8</v>
      </c>
      <c r="O102" s="11">
        <v>179.15</v>
      </c>
      <c r="P102" s="11">
        <v>189.08</v>
      </c>
      <c r="Q102" s="11">
        <v>199.99</v>
      </c>
      <c r="R102" s="11">
        <v>209.13</v>
      </c>
      <c r="S102" s="11">
        <v>218.71</v>
      </c>
      <c r="T102" s="11">
        <v>227.99</v>
      </c>
      <c r="U102" s="11">
        <v>237.38</v>
      </c>
      <c r="V102" s="11">
        <v>248.96</v>
      </c>
      <c r="W102" s="11">
        <v>260.99</v>
      </c>
      <c r="X102" s="11">
        <v>272.19</v>
      </c>
      <c r="Y102" s="11">
        <v>281.46</v>
      </c>
      <c r="Z102" s="11">
        <v>290.43</v>
      </c>
      <c r="AA102" s="11"/>
      <c r="AB102" s="11"/>
      <c r="AC102" s="11"/>
      <c r="AD102" s="11"/>
      <c r="AE102" s="11"/>
      <c r="AF102" s="11"/>
      <c r="AG102" s="12"/>
      <c r="AH102" s="13"/>
      <c r="AI102" s="17">
        <v>1900</v>
      </c>
      <c r="AJ102" s="11" t="str">
        <f>ROUND(73.8*(1+AD6)*(1+AD5)+AD7,2)</f>
        <v>0</v>
      </c>
      <c r="AK102" s="11" t="str">
        <f>ROUND(82.97*(1+AD6)*(1+AD5)+AD7,2)</f>
        <v>0</v>
      </c>
      <c r="AL102" s="11" t="str">
        <f>ROUND(92.09*(1+AD6)*(1+AD5)+AD7,2)</f>
        <v>0</v>
      </c>
      <c r="AM102" s="11" t="str">
        <f>ROUND(101.3*(1+AD6)*(1+AD5)+AD7,2)</f>
        <v>0</v>
      </c>
      <c r="AN102" s="11" t="str">
        <f>ROUND(111.27*(1+AD6)*(1+AD5)+AD7,2)</f>
        <v>0</v>
      </c>
      <c r="AO102" s="11" t="str">
        <f>ROUND(121.26*(1+AD6)*(1+AD5)+AD7,2)</f>
        <v>0</v>
      </c>
      <c r="AP102" s="11" t="str">
        <f>ROUND(131.31*(1+AD6)*(1+AD5)+AD7,2)</f>
        <v>0</v>
      </c>
      <c r="AQ102" s="11" t="str">
        <f>ROUND(140.69*(1+AD6)*(1+AD5)+AD7,2)</f>
        <v>0</v>
      </c>
      <c r="AR102" s="11" t="str">
        <f>ROUND(151.01*(1+AD6)*(1+AD5)+AD7,2)</f>
        <v>0</v>
      </c>
      <c r="AS102" s="11" t="str">
        <f>ROUND(160.41*(1+AD6)*(1+AD5)+AD7,2)</f>
        <v>0</v>
      </c>
      <c r="AT102" s="11" t="str">
        <f>ROUND(169.8*(1+AD6)*(1+AD5)+AD7,2)</f>
        <v>0</v>
      </c>
      <c r="AU102" s="11" t="str">
        <f>ROUND(179.15*(1+AD6)*(1+AD5)+AD7,2)</f>
        <v>0</v>
      </c>
      <c r="AV102" s="11" t="str">
        <f>ROUND(189.08*(1+AD6)*(1+AD5)+AD7,2)</f>
        <v>0</v>
      </c>
      <c r="AW102" s="11" t="str">
        <f>ROUND(199.99*(1+AD6)*(1+AD5)+AD7,2)</f>
        <v>0</v>
      </c>
      <c r="AX102" s="11" t="str">
        <f>ROUND(209.13*(1+AD6)*(1+AD5)+AD7,2)</f>
        <v>0</v>
      </c>
      <c r="AY102" s="11" t="str">
        <f>ROUND(218.71*(1+AD6)*(1+AD5)+AD7,2)</f>
        <v>0</v>
      </c>
      <c r="AZ102" s="11" t="str">
        <f>ROUND(227.99*(1+AD6)*(1+AD5)+AD7,2)</f>
        <v>0</v>
      </c>
      <c r="BA102" s="11" t="str">
        <f>ROUND(237.38*(1+AD6)*(1+AD5)+AD7,2)</f>
        <v>0</v>
      </c>
      <c r="BB102" s="11" t="str">
        <f>ROUND(248.96*(1+AD6)*(1+AD5)+AD7,2)</f>
        <v>0</v>
      </c>
      <c r="BC102" s="11" t="str">
        <f>ROUND(260.99*(1+AD6)*(1+AD5)+AD7,2)</f>
        <v>0</v>
      </c>
      <c r="BD102" s="11" t="str">
        <f>ROUND(272.19*(1+AD6)*(1+AD5)+AD7,2)</f>
        <v>0</v>
      </c>
      <c r="BE102" t="str">
        <f>ROUND(281.46*(1+AD6)*(1+AD5)+AD7,2)</f>
        <v>0</v>
      </c>
      <c r="BF102" t="str">
        <f>ROUND(290.43*(1+AD6)*(1+AD5)+AD7,2)</f>
        <v>0</v>
      </c>
    </row>
    <row r="103" spans="1:58">
      <c r="A103" s="11"/>
      <c r="B103" s="13"/>
      <c r="C103" s="17">
        <v>2000</v>
      </c>
      <c r="D103" s="11">
        <v>74.42</v>
      </c>
      <c r="E103" s="11">
        <v>83.75</v>
      </c>
      <c r="F103" s="11">
        <v>93.07</v>
      </c>
      <c r="G103" s="11">
        <v>102.43</v>
      </c>
      <c r="H103" s="11">
        <v>112.63</v>
      </c>
      <c r="I103" s="11">
        <v>122.76</v>
      </c>
      <c r="J103" s="11">
        <v>132.97</v>
      </c>
      <c r="K103" s="11">
        <v>142.61</v>
      </c>
      <c r="L103" s="11">
        <v>153.06</v>
      </c>
      <c r="M103" s="11">
        <v>162.62</v>
      </c>
      <c r="N103" s="11">
        <v>172.19</v>
      </c>
      <c r="O103" s="11">
        <v>181.73</v>
      </c>
      <c r="P103" s="11">
        <v>191.84</v>
      </c>
      <c r="Q103" s="11">
        <v>202.96</v>
      </c>
      <c r="R103" s="11">
        <v>212.26</v>
      </c>
      <c r="S103" s="11">
        <v>221.98</v>
      </c>
      <c r="T103" s="11">
        <v>231.41</v>
      </c>
      <c r="U103" s="11">
        <v>241.03</v>
      </c>
      <c r="V103" s="11">
        <v>252.77</v>
      </c>
      <c r="W103" s="11">
        <v>264.94</v>
      </c>
      <c r="X103" s="11">
        <v>276.37</v>
      </c>
      <c r="Y103" s="11">
        <v>285.78</v>
      </c>
      <c r="Z103" s="11">
        <v>294.91</v>
      </c>
      <c r="AA103" s="11"/>
      <c r="AB103" s="11"/>
      <c r="AC103" s="11"/>
      <c r="AD103" s="11"/>
      <c r="AE103" s="11"/>
      <c r="AF103" s="11"/>
      <c r="AG103" s="12"/>
      <c r="AH103" s="13"/>
      <c r="AI103" s="17">
        <v>2000</v>
      </c>
      <c r="AJ103" s="11" t="str">
        <f>ROUND(74.42*(1+AD6)*(1+AD5)+AD7,2)</f>
        <v>0</v>
      </c>
      <c r="AK103" s="11" t="str">
        <f>ROUND(83.75*(1+AD6)*(1+AD5)+AD7,2)</f>
        <v>0</v>
      </c>
      <c r="AL103" s="11" t="str">
        <f>ROUND(93.07*(1+AD6)*(1+AD5)+AD7,2)</f>
        <v>0</v>
      </c>
      <c r="AM103" s="11" t="str">
        <f>ROUND(102.43*(1+AD6)*(1+AD5)+AD7,2)</f>
        <v>0</v>
      </c>
      <c r="AN103" s="11" t="str">
        <f>ROUND(112.63*(1+AD6)*(1+AD5)+AD7,2)</f>
        <v>0</v>
      </c>
      <c r="AO103" s="11" t="str">
        <f>ROUND(122.76*(1+AD6)*(1+AD5)+AD7,2)</f>
        <v>0</v>
      </c>
      <c r="AP103" s="11" t="str">
        <f>ROUND(132.97*(1+AD6)*(1+AD5)+AD7,2)</f>
        <v>0</v>
      </c>
      <c r="AQ103" s="11" t="str">
        <f>ROUND(142.61*(1+AD6)*(1+AD5)+AD7,2)</f>
        <v>0</v>
      </c>
      <c r="AR103" s="11" t="str">
        <f>ROUND(153.06*(1+AD6)*(1+AD5)+AD7,2)</f>
        <v>0</v>
      </c>
      <c r="AS103" s="11" t="str">
        <f>ROUND(162.62*(1+AD6)*(1+AD5)+AD7,2)</f>
        <v>0</v>
      </c>
      <c r="AT103" s="11" t="str">
        <f>ROUND(172.19*(1+AD6)*(1+AD5)+AD7,2)</f>
        <v>0</v>
      </c>
      <c r="AU103" s="11" t="str">
        <f>ROUND(181.73*(1+AD6)*(1+AD5)+AD7,2)</f>
        <v>0</v>
      </c>
      <c r="AV103" s="11" t="str">
        <f>ROUND(191.84*(1+AD6)*(1+AD5)+AD7,2)</f>
        <v>0</v>
      </c>
      <c r="AW103" s="11" t="str">
        <f>ROUND(202.96*(1+AD6)*(1+AD5)+AD7,2)</f>
        <v>0</v>
      </c>
      <c r="AX103" s="11" t="str">
        <f>ROUND(212.26*(1+AD6)*(1+AD5)+AD7,2)</f>
        <v>0</v>
      </c>
      <c r="AY103" s="11" t="str">
        <f>ROUND(221.98*(1+AD6)*(1+AD5)+AD7,2)</f>
        <v>0</v>
      </c>
      <c r="AZ103" s="11" t="str">
        <f>ROUND(231.41*(1+AD6)*(1+AD5)+AD7,2)</f>
        <v>0</v>
      </c>
      <c r="BA103" s="11" t="str">
        <f>ROUND(241.03*(1+AD6)*(1+AD5)+AD7,2)</f>
        <v>0</v>
      </c>
      <c r="BB103" s="11" t="str">
        <f>ROUND(252.77*(1+AD6)*(1+AD5)+AD7,2)</f>
        <v>0</v>
      </c>
      <c r="BC103" s="11" t="str">
        <f>ROUND(264.94*(1+AD6)*(1+AD5)+AD7,2)</f>
        <v>0</v>
      </c>
      <c r="BD103" s="11" t="str">
        <f>ROUND(276.37*(1+AD6)*(1+AD5)+AD7,2)</f>
        <v>0</v>
      </c>
      <c r="BE103" t="str">
        <f>ROUND(285.78*(1+AD6)*(1+AD5)+AD7,2)</f>
        <v>0</v>
      </c>
      <c r="BF103" t="str">
        <f>ROUND(294.91*(1+AD6)*(1+AD5)+AD7,2)</f>
        <v>0</v>
      </c>
    </row>
    <row r="104" spans="1:58">
      <c r="A104" s="11"/>
      <c r="B104" s="13"/>
      <c r="C104" s="17">
        <v>2100</v>
      </c>
      <c r="D104" s="11">
        <v>75.04</v>
      </c>
      <c r="E104" s="11">
        <v>84.56</v>
      </c>
      <c r="F104" s="11">
        <v>94.06</v>
      </c>
      <c r="G104" s="11">
        <v>103.6</v>
      </c>
      <c r="H104" s="11">
        <v>113.94</v>
      </c>
      <c r="I104" s="11">
        <v>124.27</v>
      </c>
      <c r="J104" s="11">
        <v>134.69</v>
      </c>
      <c r="K104" s="11">
        <v>144.5</v>
      </c>
      <c r="L104" s="11">
        <v>155.11</v>
      </c>
      <c r="M104" s="11">
        <v>164.81</v>
      </c>
      <c r="N104" s="11">
        <v>174.58</v>
      </c>
      <c r="O104" s="11">
        <v>184.29</v>
      </c>
      <c r="P104" s="11">
        <v>194.56</v>
      </c>
      <c r="Q104" s="11">
        <v>205.87</v>
      </c>
      <c r="R104" s="11">
        <v>215.38</v>
      </c>
      <c r="S104" s="11">
        <v>225.28</v>
      </c>
      <c r="T104" s="11">
        <v>234.86</v>
      </c>
      <c r="U104" s="11">
        <v>244.66</v>
      </c>
      <c r="V104" s="11">
        <v>256.57</v>
      </c>
      <c r="W104" s="11">
        <v>268.95</v>
      </c>
      <c r="X104" s="11">
        <v>280.54</v>
      </c>
      <c r="Y104" s="11">
        <v>290.13</v>
      </c>
      <c r="Z104" s="11">
        <v>299.39</v>
      </c>
      <c r="AA104" s="11"/>
      <c r="AB104" s="11"/>
      <c r="AC104" s="11"/>
      <c r="AD104" s="11"/>
      <c r="AE104" s="11"/>
      <c r="AF104" s="11"/>
      <c r="AG104" s="12"/>
      <c r="AH104" s="13"/>
      <c r="AI104" s="17">
        <v>2100</v>
      </c>
      <c r="AJ104" s="11" t="str">
        <f>ROUND(75.04*(1+AD6)*(1+AD5)+AD7,2)</f>
        <v>0</v>
      </c>
      <c r="AK104" s="11" t="str">
        <f>ROUND(84.56*(1+AD6)*(1+AD5)+AD7,2)</f>
        <v>0</v>
      </c>
      <c r="AL104" s="11" t="str">
        <f>ROUND(94.06*(1+AD6)*(1+AD5)+AD7,2)</f>
        <v>0</v>
      </c>
      <c r="AM104" s="11" t="str">
        <f>ROUND(103.6*(1+AD6)*(1+AD5)+AD7,2)</f>
        <v>0</v>
      </c>
      <c r="AN104" s="11" t="str">
        <f>ROUND(113.94*(1+AD6)*(1+AD5)+AD7,2)</f>
        <v>0</v>
      </c>
      <c r="AO104" s="11" t="str">
        <f>ROUND(124.27*(1+AD6)*(1+AD5)+AD7,2)</f>
        <v>0</v>
      </c>
      <c r="AP104" s="11" t="str">
        <f>ROUND(134.69*(1+AD6)*(1+AD5)+AD7,2)</f>
        <v>0</v>
      </c>
      <c r="AQ104" s="11" t="str">
        <f>ROUND(144.5*(1+AD6)*(1+AD5)+AD7,2)</f>
        <v>0</v>
      </c>
      <c r="AR104" s="11" t="str">
        <f>ROUND(155.11*(1+AD6)*(1+AD5)+AD7,2)</f>
        <v>0</v>
      </c>
      <c r="AS104" s="11" t="str">
        <f>ROUND(164.81*(1+AD6)*(1+AD5)+AD7,2)</f>
        <v>0</v>
      </c>
      <c r="AT104" s="11" t="str">
        <f>ROUND(174.58*(1+AD6)*(1+AD5)+AD7,2)</f>
        <v>0</v>
      </c>
      <c r="AU104" s="11" t="str">
        <f>ROUND(184.29*(1+AD6)*(1+AD5)+AD7,2)</f>
        <v>0</v>
      </c>
      <c r="AV104" s="11" t="str">
        <f>ROUND(194.56*(1+AD6)*(1+AD5)+AD7,2)</f>
        <v>0</v>
      </c>
      <c r="AW104" s="11" t="str">
        <f>ROUND(205.87*(1+AD6)*(1+AD5)+AD7,2)</f>
        <v>0</v>
      </c>
      <c r="AX104" s="11" t="str">
        <f>ROUND(215.38*(1+AD6)*(1+AD5)+AD7,2)</f>
        <v>0</v>
      </c>
      <c r="AY104" s="11" t="str">
        <f>ROUND(225.28*(1+AD6)*(1+AD5)+AD7,2)</f>
        <v>0</v>
      </c>
      <c r="AZ104" s="11" t="str">
        <f>ROUND(234.86*(1+AD6)*(1+AD5)+AD7,2)</f>
        <v>0</v>
      </c>
      <c r="BA104" s="11" t="str">
        <f>ROUND(244.66*(1+AD6)*(1+AD5)+AD7,2)</f>
        <v>0</v>
      </c>
      <c r="BB104" s="11" t="str">
        <f>ROUND(256.57*(1+AD6)*(1+AD5)+AD7,2)</f>
        <v>0</v>
      </c>
      <c r="BC104" s="11" t="str">
        <f>ROUND(268.95*(1+AD6)*(1+AD5)+AD7,2)</f>
        <v>0</v>
      </c>
      <c r="BD104" s="11" t="str">
        <f>ROUND(280.54*(1+AD6)*(1+AD5)+AD7,2)</f>
        <v>0</v>
      </c>
      <c r="BE104" t="str">
        <f>ROUND(290.13*(1+AD6)*(1+AD5)+AD7,2)</f>
        <v>0</v>
      </c>
      <c r="BF104" t="str">
        <f>ROUND(299.39*(1+AD6)*(1+AD5)+AD7,2)</f>
        <v>0</v>
      </c>
    </row>
    <row r="105" spans="1:58">
      <c r="A105" s="11"/>
      <c r="B105" s="13"/>
      <c r="C105" s="17">
        <v>2200</v>
      </c>
      <c r="D105" s="11">
        <v>75.66</v>
      </c>
      <c r="E105" s="11">
        <v>85.36</v>
      </c>
      <c r="F105" s="11">
        <v>95.01</v>
      </c>
      <c r="G105" s="11">
        <v>104.78</v>
      </c>
      <c r="H105" s="11">
        <v>115.26</v>
      </c>
      <c r="I105" s="11">
        <v>125.79</v>
      </c>
      <c r="J105" s="11">
        <v>136.55</v>
      </c>
      <c r="K105" s="11">
        <v>146.32</v>
      </c>
      <c r="L105" s="11">
        <v>157.14</v>
      </c>
      <c r="M105" s="11">
        <v>167.07</v>
      </c>
      <c r="N105" s="11">
        <v>176.99</v>
      </c>
      <c r="O105" s="11">
        <v>186.86</v>
      </c>
      <c r="P105" s="11">
        <v>197.32</v>
      </c>
      <c r="Q105" s="11">
        <v>208.8</v>
      </c>
      <c r="R105" s="11">
        <v>218.46</v>
      </c>
      <c r="S105" s="11">
        <v>228.59</v>
      </c>
      <c r="T105" s="11">
        <v>238.32</v>
      </c>
      <c r="U105" s="11">
        <v>248.31</v>
      </c>
      <c r="V105" s="11">
        <v>260.38</v>
      </c>
      <c r="W105" s="11">
        <v>272.94</v>
      </c>
      <c r="X105" s="11">
        <v>284.69</v>
      </c>
      <c r="Y105" s="11">
        <v>294.47</v>
      </c>
      <c r="Z105" s="11">
        <v>303.86</v>
      </c>
      <c r="AA105" s="11"/>
      <c r="AB105" s="11"/>
      <c r="AC105" s="11"/>
      <c r="AD105" s="11"/>
      <c r="AE105" s="11"/>
      <c r="AF105" s="11"/>
      <c r="AG105" s="12"/>
      <c r="AH105" s="13"/>
      <c r="AI105" s="17">
        <v>2200</v>
      </c>
      <c r="AJ105" s="11" t="str">
        <f>ROUND(75.66*(1+AD6)*(1+AD5)+AD7,2)</f>
        <v>0</v>
      </c>
      <c r="AK105" s="11" t="str">
        <f>ROUND(85.36*(1+AD6)*(1+AD5)+AD7,2)</f>
        <v>0</v>
      </c>
      <c r="AL105" s="11" t="str">
        <f>ROUND(95.01*(1+AD6)*(1+AD5)+AD7,2)</f>
        <v>0</v>
      </c>
      <c r="AM105" s="11" t="str">
        <f>ROUND(104.78*(1+AD6)*(1+AD5)+AD7,2)</f>
        <v>0</v>
      </c>
      <c r="AN105" s="11" t="str">
        <f>ROUND(115.26*(1+AD6)*(1+AD5)+AD7,2)</f>
        <v>0</v>
      </c>
      <c r="AO105" s="11" t="str">
        <f>ROUND(125.79*(1+AD6)*(1+AD5)+AD7,2)</f>
        <v>0</v>
      </c>
      <c r="AP105" s="11" t="str">
        <f>ROUND(136.55*(1+AD6)*(1+AD5)+AD7,2)</f>
        <v>0</v>
      </c>
      <c r="AQ105" s="11" t="str">
        <f>ROUND(146.32*(1+AD6)*(1+AD5)+AD7,2)</f>
        <v>0</v>
      </c>
      <c r="AR105" s="11" t="str">
        <f>ROUND(157.14*(1+AD6)*(1+AD5)+AD7,2)</f>
        <v>0</v>
      </c>
      <c r="AS105" s="11" t="str">
        <f>ROUND(167.07*(1+AD6)*(1+AD5)+AD7,2)</f>
        <v>0</v>
      </c>
      <c r="AT105" s="11" t="str">
        <f>ROUND(176.99*(1+AD6)*(1+AD5)+AD7,2)</f>
        <v>0</v>
      </c>
      <c r="AU105" s="11" t="str">
        <f>ROUND(186.86*(1+AD6)*(1+AD5)+AD7,2)</f>
        <v>0</v>
      </c>
      <c r="AV105" s="11" t="str">
        <f>ROUND(197.32*(1+AD6)*(1+AD5)+AD7,2)</f>
        <v>0</v>
      </c>
      <c r="AW105" s="11" t="str">
        <f>ROUND(208.8*(1+AD6)*(1+AD5)+AD7,2)</f>
        <v>0</v>
      </c>
      <c r="AX105" s="11" t="str">
        <f>ROUND(218.46*(1+AD6)*(1+AD5)+AD7,2)</f>
        <v>0</v>
      </c>
      <c r="AY105" s="11" t="str">
        <f>ROUND(228.59*(1+AD6)*(1+AD5)+AD7,2)</f>
        <v>0</v>
      </c>
      <c r="AZ105" s="11" t="str">
        <f>ROUND(238.32*(1+AD6)*(1+AD5)+AD7,2)</f>
        <v>0</v>
      </c>
      <c r="BA105" s="11" t="str">
        <f>ROUND(248.31*(1+AD6)*(1+AD5)+AD7,2)</f>
        <v>0</v>
      </c>
      <c r="BB105" s="11" t="str">
        <f>ROUND(260.38*(1+AD6)*(1+AD5)+AD7,2)</f>
        <v>0</v>
      </c>
      <c r="BC105" s="11" t="str">
        <f>ROUND(272.94*(1+AD6)*(1+AD5)+AD7,2)</f>
        <v>0</v>
      </c>
      <c r="BD105" s="11" t="str">
        <f>ROUND(284.69*(1+AD6)*(1+AD5)+AD7,2)</f>
        <v>0</v>
      </c>
      <c r="BE105" t="str">
        <f>ROUND(294.47*(1+AD6)*(1+AD5)+AD7,2)</f>
        <v>0</v>
      </c>
      <c r="BF105" t="str">
        <f>ROUND(303.86*(1+AD6)*(1+AD5)+AD7,2)</f>
        <v>0</v>
      </c>
    </row>
    <row r="106" spans="1:58">
      <c r="A106" s="11"/>
      <c r="B106" s="13"/>
      <c r="C106" s="17">
        <v>2300</v>
      </c>
      <c r="D106" s="11">
        <v>76.31</v>
      </c>
      <c r="E106" s="11">
        <v>86.18</v>
      </c>
      <c r="F106" s="11">
        <v>96</v>
      </c>
      <c r="G106" s="11">
        <v>105.93</v>
      </c>
      <c r="H106" s="11">
        <v>116.58</v>
      </c>
      <c r="I106" s="11">
        <v>127.29</v>
      </c>
      <c r="J106" s="11">
        <v>138.07</v>
      </c>
      <c r="K106" s="11">
        <v>148.21</v>
      </c>
      <c r="L106" s="11">
        <v>159.19</v>
      </c>
      <c r="M106" s="11">
        <v>169.31</v>
      </c>
      <c r="N106" s="11">
        <v>177.48</v>
      </c>
      <c r="O106" s="11">
        <v>189.44</v>
      </c>
      <c r="P106" s="11">
        <v>200.08</v>
      </c>
      <c r="Q106" s="11">
        <v>211.71</v>
      </c>
      <c r="R106" s="11">
        <v>221.57</v>
      </c>
      <c r="S106" s="11">
        <v>231.85</v>
      </c>
      <c r="T106" s="11">
        <v>241.77</v>
      </c>
      <c r="U106" s="11">
        <v>251.95</v>
      </c>
      <c r="V106" s="11">
        <v>264.24</v>
      </c>
      <c r="W106" s="11">
        <v>276.93</v>
      </c>
      <c r="X106" s="11">
        <v>288.87</v>
      </c>
      <c r="Y106" s="11">
        <v>298.79</v>
      </c>
      <c r="Z106" s="11">
        <v>308.3</v>
      </c>
      <c r="AA106" s="11"/>
      <c r="AB106" s="11"/>
      <c r="AC106" s="11"/>
      <c r="AD106" s="11"/>
      <c r="AE106" s="11"/>
      <c r="AF106" s="11"/>
      <c r="AG106" s="12"/>
      <c r="AH106" s="13"/>
      <c r="AI106" s="17">
        <v>2300</v>
      </c>
      <c r="AJ106" s="11" t="str">
        <f>ROUND(76.31*(1+AD6)*(1+AD5)+AD7,2)</f>
        <v>0</v>
      </c>
      <c r="AK106" s="11" t="str">
        <f>ROUND(86.18*(1+AD6)*(1+AD5)+AD7,2)</f>
        <v>0</v>
      </c>
      <c r="AL106" s="11" t="str">
        <f>ROUND(96*(1+AD6)*(1+AD5)+AD7,2)</f>
        <v>0</v>
      </c>
      <c r="AM106" s="11" t="str">
        <f>ROUND(105.93*(1+AD6)*(1+AD5)+AD7,2)</f>
        <v>0</v>
      </c>
      <c r="AN106" s="11" t="str">
        <f>ROUND(116.58*(1+AD6)*(1+AD5)+AD7,2)</f>
        <v>0</v>
      </c>
      <c r="AO106" s="11" t="str">
        <f>ROUND(127.29*(1+AD6)*(1+AD5)+AD7,2)</f>
        <v>0</v>
      </c>
      <c r="AP106" s="11" t="str">
        <f>ROUND(138.07*(1+AD6)*(1+AD5)+AD7,2)</f>
        <v>0</v>
      </c>
      <c r="AQ106" s="11" t="str">
        <f>ROUND(148.21*(1+AD6)*(1+AD5)+AD7,2)</f>
        <v>0</v>
      </c>
      <c r="AR106" s="11" t="str">
        <f>ROUND(159.19*(1+AD6)*(1+AD5)+AD7,2)</f>
        <v>0</v>
      </c>
      <c r="AS106" s="11" t="str">
        <f>ROUND(169.31*(1+AD6)*(1+AD5)+AD7,2)</f>
        <v>0</v>
      </c>
      <c r="AT106" s="11" t="str">
        <f>ROUND(177.48*(1+AD6)*(1+AD5)+AD7,2)</f>
        <v>0</v>
      </c>
      <c r="AU106" s="11" t="str">
        <f>ROUND(189.44*(1+AD6)*(1+AD5)+AD7,2)</f>
        <v>0</v>
      </c>
      <c r="AV106" s="11" t="str">
        <f>ROUND(200.08*(1+AD6)*(1+AD5)+AD7,2)</f>
        <v>0</v>
      </c>
      <c r="AW106" s="11" t="str">
        <f>ROUND(211.71*(1+AD6)*(1+AD5)+AD7,2)</f>
        <v>0</v>
      </c>
      <c r="AX106" s="11" t="str">
        <f>ROUND(221.57*(1+AD6)*(1+AD5)+AD7,2)</f>
        <v>0</v>
      </c>
      <c r="AY106" s="11" t="str">
        <f>ROUND(231.85*(1+AD6)*(1+AD5)+AD7,2)</f>
        <v>0</v>
      </c>
      <c r="AZ106" s="11" t="str">
        <f>ROUND(241.77*(1+AD6)*(1+AD5)+AD7,2)</f>
        <v>0</v>
      </c>
      <c r="BA106" s="11" t="str">
        <f>ROUND(251.95*(1+AD6)*(1+AD5)+AD7,2)</f>
        <v>0</v>
      </c>
      <c r="BB106" s="11" t="str">
        <f>ROUND(264.24*(1+AD6)*(1+AD5)+AD7,2)</f>
        <v>0</v>
      </c>
      <c r="BC106" s="11" t="str">
        <f>ROUND(276.93*(1+AD6)*(1+AD5)+AD7,2)</f>
        <v>0</v>
      </c>
      <c r="BD106" s="11" t="str">
        <f>ROUND(288.87*(1+AD6)*(1+AD5)+AD7,2)</f>
        <v>0</v>
      </c>
      <c r="BE106" t="str">
        <f>ROUND(298.79*(1+AD6)*(1+AD5)+AD7,2)</f>
        <v>0</v>
      </c>
      <c r="BF106" t="str">
        <f>ROUND(308.3*(1+AD6)*(1+AD5)+AD7,2)</f>
        <v>0</v>
      </c>
    </row>
    <row r="107" spans="1:58">
      <c r="A107" s="11"/>
      <c r="B107" s="13"/>
      <c r="C107" s="17">
        <v>2400</v>
      </c>
      <c r="D107" s="11">
        <v>76.91</v>
      </c>
      <c r="E107" s="11">
        <v>86.96</v>
      </c>
      <c r="F107" s="11">
        <v>96.98</v>
      </c>
      <c r="G107" s="11">
        <v>107.08</v>
      </c>
      <c r="H107" s="11">
        <v>117.93</v>
      </c>
      <c r="I107" s="11">
        <v>128.8</v>
      </c>
      <c r="J107" s="11">
        <v>139.72</v>
      </c>
      <c r="K107" s="11">
        <v>150.07</v>
      </c>
      <c r="L107" s="11">
        <v>161.22</v>
      </c>
      <c r="M107" s="11">
        <v>171.48</v>
      </c>
      <c r="N107" s="11">
        <v>181.79</v>
      </c>
      <c r="O107" s="11">
        <v>191.98</v>
      </c>
      <c r="P107" s="11">
        <v>202.8</v>
      </c>
      <c r="Q107" s="11">
        <v>214.66</v>
      </c>
      <c r="R107" s="11">
        <v>224.71</v>
      </c>
      <c r="S107" s="11">
        <v>235.15</v>
      </c>
      <c r="T107" s="11">
        <v>245.26</v>
      </c>
      <c r="U107" s="11">
        <v>255.61</v>
      </c>
      <c r="V107" s="11">
        <v>268.03</v>
      </c>
      <c r="W107" s="11">
        <v>280.91</v>
      </c>
      <c r="X107" s="11">
        <v>293.03</v>
      </c>
      <c r="Y107" s="11">
        <v>303.18</v>
      </c>
      <c r="Z107" s="11">
        <v>312.8</v>
      </c>
      <c r="AA107" s="11"/>
      <c r="AB107" s="11"/>
      <c r="AC107" s="11"/>
      <c r="AD107" s="11"/>
      <c r="AE107" s="11"/>
      <c r="AF107" s="11"/>
      <c r="AG107" s="12"/>
      <c r="AH107" s="13"/>
      <c r="AI107" s="17">
        <v>2400</v>
      </c>
      <c r="AJ107" s="11" t="str">
        <f>ROUND(76.91*(1+AD6)*(1+AD5)+AD7,2)</f>
        <v>0</v>
      </c>
      <c r="AK107" s="11" t="str">
        <f>ROUND(86.96*(1+AD6)*(1+AD5)+AD7,2)</f>
        <v>0</v>
      </c>
      <c r="AL107" s="11" t="str">
        <f>ROUND(96.98*(1+AD6)*(1+AD5)+AD7,2)</f>
        <v>0</v>
      </c>
      <c r="AM107" s="11" t="str">
        <f>ROUND(107.08*(1+AD6)*(1+AD5)+AD7,2)</f>
        <v>0</v>
      </c>
      <c r="AN107" s="11" t="str">
        <f>ROUND(117.93*(1+AD6)*(1+AD5)+AD7,2)</f>
        <v>0</v>
      </c>
      <c r="AO107" s="11" t="str">
        <f>ROUND(128.8*(1+AD6)*(1+AD5)+AD7,2)</f>
        <v>0</v>
      </c>
      <c r="AP107" s="11" t="str">
        <f>ROUND(139.72*(1+AD6)*(1+AD5)+AD7,2)</f>
        <v>0</v>
      </c>
      <c r="AQ107" s="11" t="str">
        <f>ROUND(150.07*(1+AD6)*(1+AD5)+AD7,2)</f>
        <v>0</v>
      </c>
      <c r="AR107" s="11" t="str">
        <f>ROUND(161.22*(1+AD6)*(1+AD5)+AD7,2)</f>
        <v>0</v>
      </c>
      <c r="AS107" s="11" t="str">
        <f>ROUND(171.48*(1+AD6)*(1+AD5)+AD7,2)</f>
        <v>0</v>
      </c>
      <c r="AT107" s="11" t="str">
        <f>ROUND(181.79*(1+AD6)*(1+AD5)+AD7,2)</f>
        <v>0</v>
      </c>
      <c r="AU107" s="11" t="str">
        <f>ROUND(191.98*(1+AD6)*(1+AD5)+AD7,2)</f>
        <v>0</v>
      </c>
      <c r="AV107" s="11" t="str">
        <f>ROUND(202.8*(1+AD6)*(1+AD5)+AD7,2)</f>
        <v>0</v>
      </c>
      <c r="AW107" s="11" t="str">
        <f>ROUND(214.66*(1+AD6)*(1+AD5)+AD7,2)</f>
        <v>0</v>
      </c>
      <c r="AX107" s="11" t="str">
        <f>ROUND(224.71*(1+AD6)*(1+AD5)+AD7,2)</f>
        <v>0</v>
      </c>
      <c r="AY107" s="11" t="str">
        <f>ROUND(235.15*(1+AD6)*(1+AD5)+AD7,2)</f>
        <v>0</v>
      </c>
      <c r="AZ107" s="11" t="str">
        <f>ROUND(245.26*(1+AD6)*(1+AD5)+AD7,2)</f>
        <v>0</v>
      </c>
      <c r="BA107" s="11" t="str">
        <f>ROUND(255.61*(1+AD6)*(1+AD5)+AD7,2)</f>
        <v>0</v>
      </c>
      <c r="BB107" s="11" t="str">
        <f>ROUND(268.03*(1+AD6)*(1+AD5)+AD7,2)</f>
        <v>0</v>
      </c>
      <c r="BC107" s="11" t="str">
        <f>ROUND(280.91*(1+AD6)*(1+AD5)+AD7,2)</f>
        <v>0</v>
      </c>
      <c r="BD107" s="11" t="str">
        <f>ROUND(293.03*(1+AD6)*(1+AD5)+AD7,2)</f>
        <v>0</v>
      </c>
      <c r="BE107" t="str">
        <f>ROUND(303.18*(1+AD6)*(1+AD5)+AD7,2)</f>
        <v>0</v>
      </c>
      <c r="BF107" t="str">
        <f>ROUND(312.8*(1+AD6)*(1+AD5)+AD7,2)</f>
        <v>0</v>
      </c>
    </row>
    <row r="108" spans="1:58">
      <c r="A108" s="11"/>
      <c r="B108" s="13"/>
      <c r="C108" s="17">
        <v>2500</v>
      </c>
      <c r="D108" s="11">
        <v>78.98</v>
      </c>
      <c r="E108" s="11">
        <v>89.32</v>
      </c>
      <c r="F108" s="11">
        <v>99.61</v>
      </c>
      <c r="G108" s="11">
        <v>110.01</v>
      </c>
      <c r="H108" s="11">
        <v>121.16</v>
      </c>
      <c r="I108" s="11">
        <v>132.31</v>
      </c>
      <c r="J108" s="11">
        <v>143.54</v>
      </c>
      <c r="K108" s="11">
        <v>154.17</v>
      </c>
      <c r="L108" s="11">
        <v>165.63</v>
      </c>
      <c r="M108" s="11">
        <v>176.16</v>
      </c>
      <c r="N108" s="11">
        <v>186.76</v>
      </c>
      <c r="O108" s="11">
        <v>197.27</v>
      </c>
      <c r="P108" s="11">
        <v>208.37</v>
      </c>
      <c r="Q108" s="11">
        <v>220.53</v>
      </c>
      <c r="R108" s="11">
        <v>230.87</v>
      </c>
      <c r="S108" s="11">
        <v>241.6</v>
      </c>
      <c r="T108" s="11">
        <v>251.99</v>
      </c>
      <c r="U108" s="11">
        <v>262.65</v>
      </c>
      <c r="V108" s="11">
        <v>275.38</v>
      </c>
      <c r="W108" s="11">
        <v>288.55</v>
      </c>
      <c r="X108" s="11">
        <v>300.94</v>
      </c>
      <c r="Y108" s="11">
        <v>311.38</v>
      </c>
      <c r="Z108" s="11">
        <v>321.27</v>
      </c>
      <c r="AA108" s="11"/>
      <c r="AB108" s="11"/>
      <c r="AC108" s="11"/>
      <c r="AD108" s="11"/>
      <c r="AE108" s="11"/>
      <c r="AF108" s="11"/>
      <c r="AG108" s="12"/>
      <c r="AH108" s="13"/>
      <c r="AI108" s="17">
        <v>2500</v>
      </c>
      <c r="AJ108" s="11" t="str">
        <f>ROUND(78.98*(1+AD6)*(1+AD5)+AD7,2)</f>
        <v>0</v>
      </c>
      <c r="AK108" s="11" t="str">
        <f>ROUND(89.32*(1+AD6)*(1+AD5)+AD7,2)</f>
        <v>0</v>
      </c>
      <c r="AL108" s="11" t="str">
        <f>ROUND(99.61*(1+AD6)*(1+AD5)+AD7,2)</f>
        <v>0</v>
      </c>
      <c r="AM108" s="11" t="str">
        <f>ROUND(110.01*(1+AD6)*(1+AD5)+AD7,2)</f>
        <v>0</v>
      </c>
      <c r="AN108" s="11" t="str">
        <f>ROUND(121.16*(1+AD6)*(1+AD5)+AD7,2)</f>
        <v>0</v>
      </c>
      <c r="AO108" s="11" t="str">
        <f>ROUND(132.31*(1+AD6)*(1+AD5)+AD7,2)</f>
        <v>0</v>
      </c>
      <c r="AP108" s="11" t="str">
        <f>ROUND(143.54*(1+AD6)*(1+AD5)+AD7,2)</f>
        <v>0</v>
      </c>
      <c r="AQ108" s="11" t="str">
        <f>ROUND(154.17*(1+AD6)*(1+AD5)+AD7,2)</f>
        <v>0</v>
      </c>
      <c r="AR108" s="11" t="str">
        <f>ROUND(165.63*(1+AD6)*(1+AD5)+AD7,2)</f>
        <v>0</v>
      </c>
      <c r="AS108" s="11" t="str">
        <f>ROUND(176.16*(1+AD6)*(1+AD5)+AD7,2)</f>
        <v>0</v>
      </c>
      <c r="AT108" s="11" t="str">
        <f>ROUND(186.76*(1+AD6)*(1+AD5)+AD7,2)</f>
        <v>0</v>
      </c>
      <c r="AU108" s="11" t="str">
        <f>ROUND(197.27*(1+AD6)*(1+AD5)+AD7,2)</f>
        <v>0</v>
      </c>
      <c r="AV108" s="11" t="str">
        <f>ROUND(208.37*(1+AD6)*(1+AD5)+AD7,2)</f>
        <v>0</v>
      </c>
      <c r="AW108" s="11" t="str">
        <f>ROUND(220.53*(1+AD6)*(1+AD5)+AD7,2)</f>
        <v>0</v>
      </c>
      <c r="AX108" s="11" t="str">
        <f>ROUND(230.87*(1+AD6)*(1+AD5)+AD7,2)</f>
        <v>0</v>
      </c>
      <c r="AY108" s="11" t="str">
        <f>ROUND(241.6*(1+AD6)*(1+AD5)+AD7,2)</f>
        <v>0</v>
      </c>
      <c r="AZ108" s="11" t="str">
        <f>ROUND(251.99*(1+AD6)*(1+AD5)+AD7,2)</f>
        <v>0</v>
      </c>
      <c r="BA108" s="11" t="str">
        <f>ROUND(262.65*(1+AD6)*(1+AD5)+AD7,2)</f>
        <v>0</v>
      </c>
      <c r="BB108" s="11" t="str">
        <f>ROUND(275.38*(1+AD6)*(1+AD5)+AD7,2)</f>
        <v>0</v>
      </c>
      <c r="BC108" s="11" t="str">
        <f>ROUND(288.55*(1+AD6)*(1+AD5)+AD7,2)</f>
        <v>0</v>
      </c>
      <c r="BD108" s="11" t="str">
        <f>ROUND(300.94*(1+AD6)*(1+AD5)+AD7,2)</f>
        <v>0</v>
      </c>
      <c r="BE108" t="str">
        <f>ROUND(311.38*(1+AD6)*(1+AD5)+AD7,2)</f>
        <v>0</v>
      </c>
      <c r="BF108" t="str">
        <f>ROUND(321.27*(1+AD6)*(1+AD5)+AD7,2)</f>
        <v>0</v>
      </c>
    </row>
    <row r="109" spans="1:58">
      <c r="A109" s="11"/>
      <c r="B109" s="13"/>
      <c r="C109" s="17">
        <v>2600</v>
      </c>
      <c r="D109" s="11">
        <v>82.93</v>
      </c>
      <c r="E109" s="11">
        <v>93.79</v>
      </c>
      <c r="F109" s="11">
        <v>104.59</v>
      </c>
      <c r="G109" s="11">
        <v>115.51</v>
      </c>
      <c r="H109" s="11">
        <v>127.22</v>
      </c>
      <c r="I109" s="11">
        <v>138.92</v>
      </c>
      <c r="J109" s="11">
        <v>150.72</v>
      </c>
      <c r="K109" s="11">
        <v>161.88</v>
      </c>
      <c r="L109" s="11">
        <v>173.91</v>
      </c>
      <c r="M109" s="11">
        <v>184.97</v>
      </c>
      <c r="N109" s="11">
        <v>196.1</v>
      </c>
      <c r="O109" s="11">
        <v>207.13</v>
      </c>
      <c r="P109" s="11">
        <v>218.79</v>
      </c>
      <c r="Q109" s="11">
        <v>231.55</v>
      </c>
      <c r="R109" s="11">
        <v>242.41</v>
      </c>
      <c r="S109" s="11">
        <v>253.68</v>
      </c>
      <c r="T109" s="11">
        <v>264.59</v>
      </c>
      <c r="U109" s="11">
        <v>275.78</v>
      </c>
      <c r="V109" s="11">
        <v>289.15</v>
      </c>
      <c r="W109" s="11">
        <v>302.98</v>
      </c>
      <c r="X109" s="11">
        <v>315.99</v>
      </c>
      <c r="Y109" s="11">
        <v>326.94</v>
      </c>
      <c r="Z109" s="11">
        <v>337.33</v>
      </c>
      <c r="AA109" s="11"/>
      <c r="AB109" s="11"/>
      <c r="AC109" s="11"/>
      <c r="AD109" s="11"/>
      <c r="AE109" s="11"/>
      <c r="AF109" s="11"/>
      <c r="AG109" s="12"/>
      <c r="AH109" s="13"/>
      <c r="AI109" s="17">
        <v>2600</v>
      </c>
      <c r="AJ109" s="11" t="str">
        <f>ROUND(82.93*(1+AD6)*(1+AD5)+AD7,2)</f>
        <v>0</v>
      </c>
      <c r="AK109" s="11" t="str">
        <f>ROUND(93.79*(1+AD6)*(1+AD5)+AD7,2)</f>
        <v>0</v>
      </c>
      <c r="AL109" s="11" t="str">
        <f>ROUND(104.59*(1+AD6)*(1+AD5)+AD7,2)</f>
        <v>0</v>
      </c>
      <c r="AM109" s="11" t="str">
        <f>ROUND(115.51*(1+AD6)*(1+AD5)+AD7,2)</f>
        <v>0</v>
      </c>
      <c r="AN109" s="11" t="str">
        <f>ROUND(127.22*(1+AD6)*(1+AD5)+AD7,2)</f>
        <v>0</v>
      </c>
      <c r="AO109" s="11" t="str">
        <f>ROUND(138.92*(1+AD6)*(1+AD5)+AD7,2)</f>
        <v>0</v>
      </c>
      <c r="AP109" s="11" t="str">
        <f>ROUND(150.72*(1+AD6)*(1+AD5)+AD7,2)</f>
        <v>0</v>
      </c>
      <c r="AQ109" s="11" t="str">
        <f>ROUND(161.88*(1+AD6)*(1+AD5)+AD7,2)</f>
        <v>0</v>
      </c>
      <c r="AR109" s="11" t="str">
        <f>ROUND(173.91*(1+AD6)*(1+AD5)+AD7,2)</f>
        <v>0</v>
      </c>
      <c r="AS109" s="11" t="str">
        <f>ROUND(184.97*(1+AD6)*(1+AD5)+AD7,2)</f>
        <v>0</v>
      </c>
      <c r="AT109" s="11" t="str">
        <f>ROUND(196.1*(1+AD6)*(1+AD5)+AD7,2)</f>
        <v>0</v>
      </c>
      <c r="AU109" s="11" t="str">
        <f>ROUND(207.13*(1+AD6)*(1+AD5)+AD7,2)</f>
        <v>0</v>
      </c>
      <c r="AV109" s="11" t="str">
        <f>ROUND(218.79*(1+AD6)*(1+AD5)+AD7,2)</f>
        <v>0</v>
      </c>
      <c r="AW109" s="11" t="str">
        <f>ROUND(231.55*(1+AD6)*(1+AD5)+AD7,2)</f>
        <v>0</v>
      </c>
      <c r="AX109" s="11" t="str">
        <f>ROUND(242.41*(1+AD6)*(1+AD5)+AD7,2)</f>
        <v>0</v>
      </c>
      <c r="AY109" s="11" t="str">
        <f>ROUND(253.68*(1+AD6)*(1+AD5)+AD7,2)</f>
        <v>0</v>
      </c>
      <c r="AZ109" s="11" t="str">
        <f>ROUND(264.59*(1+AD6)*(1+AD5)+AD7,2)</f>
        <v>0</v>
      </c>
      <c r="BA109" s="11" t="str">
        <f>ROUND(275.78*(1+AD6)*(1+AD5)+AD7,2)</f>
        <v>0</v>
      </c>
      <c r="BB109" s="11" t="str">
        <f>ROUND(289.15*(1+AD6)*(1+AD5)+AD7,2)</f>
        <v>0</v>
      </c>
      <c r="BC109" s="11" t="str">
        <f>ROUND(302.98*(1+AD6)*(1+AD5)+AD7,2)</f>
        <v>0</v>
      </c>
      <c r="BD109" s="11" t="str">
        <f>ROUND(315.99*(1+AD6)*(1+AD5)+AD7,2)</f>
        <v>0</v>
      </c>
      <c r="BE109" t="str">
        <f>ROUND(326.94*(1+AD6)*(1+AD5)+AD7,2)</f>
        <v>0</v>
      </c>
      <c r="BF109" t="str">
        <f>ROUND(337.33*(1+AD6)*(1+AD5)+AD7,2)</f>
        <v>0</v>
      </c>
    </row>
    <row r="110" spans="1:58">
      <c r="A110" s="11"/>
      <c r="B110" s="13"/>
      <c r="C110" s="17">
        <v>2700</v>
      </c>
      <c r="D110" s="11">
        <v>87.07</v>
      </c>
      <c r="E110" s="11">
        <v>98.48</v>
      </c>
      <c r="F110" s="11">
        <v>109.82</v>
      </c>
      <c r="G110" s="11">
        <v>121.29</v>
      </c>
      <c r="H110" s="11">
        <v>133.58</v>
      </c>
      <c r="I110" s="11">
        <v>145.87</v>
      </c>
      <c r="J110" s="11">
        <v>158.25</v>
      </c>
      <c r="K110" s="11">
        <v>169.97</v>
      </c>
      <c r="L110" s="11">
        <v>182.6</v>
      </c>
      <c r="M110" s="11">
        <v>194.22</v>
      </c>
      <c r="N110" s="11">
        <v>205.9</v>
      </c>
      <c r="O110" s="11">
        <v>217.48</v>
      </c>
      <c r="P110" s="11">
        <v>229.73</v>
      </c>
      <c r="Q110" s="11">
        <v>243.13</v>
      </c>
      <c r="R110" s="11">
        <v>254.53</v>
      </c>
      <c r="S110" s="11">
        <v>266.36</v>
      </c>
      <c r="T110" s="11">
        <v>277.82</v>
      </c>
      <c r="U110" s="11">
        <v>289.56</v>
      </c>
      <c r="V110" s="11">
        <v>303.6</v>
      </c>
      <c r="W110" s="11">
        <v>318.14</v>
      </c>
      <c r="X110" s="11">
        <v>331.79</v>
      </c>
      <c r="Y110" s="11">
        <v>343.29</v>
      </c>
      <c r="Z110" s="11">
        <v>354.2</v>
      </c>
      <c r="AA110" s="11"/>
      <c r="AB110" s="11"/>
      <c r="AC110" s="11"/>
      <c r="AD110" s="11"/>
      <c r="AE110" s="11"/>
      <c r="AF110" s="11"/>
      <c r="AG110" s="12"/>
      <c r="AH110" s="13"/>
      <c r="AI110" s="17">
        <v>2700</v>
      </c>
      <c r="AJ110" s="11" t="str">
        <f>ROUND(87.07*(1+AD6)*(1+AD5)+AD7,2)</f>
        <v>0</v>
      </c>
      <c r="AK110" s="11" t="str">
        <f>ROUND(98.48*(1+AD6)*(1+AD5)+AD7,2)</f>
        <v>0</v>
      </c>
      <c r="AL110" s="11" t="str">
        <f>ROUND(109.82*(1+AD6)*(1+AD5)+AD7,2)</f>
        <v>0</v>
      </c>
      <c r="AM110" s="11" t="str">
        <f>ROUND(121.29*(1+AD6)*(1+AD5)+AD7,2)</f>
        <v>0</v>
      </c>
      <c r="AN110" s="11" t="str">
        <f>ROUND(133.58*(1+AD6)*(1+AD5)+AD7,2)</f>
        <v>0</v>
      </c>
      <c r="AO110" s="11" t="str">
        <f>ROUND(145.87*(1+AD6)*(1+AD5)+AD7,2)</f>
        <v>0</v>
      </c>
      <c r="AP110" s="11" t="str">
        <f>ROUND(158.25*(1+AD6)*(1+AD5)+AD7,2)</f>
        <v>0</v>
      </c>
      <c r="AQ110" s="11" t="str">
        <f>ROUND(169.97*(1+AD6)*(1+AD5)+AD7,2)</f>
        <v>0</v>
      </c>
      <c r="AR110" s="11" t="str">
        <f>ROUND(182.6*(1+AD6)*(1+AD5)+AD7,2)</f>
        <v>0</v>
      </c>
      <c r="AS110" s="11" t="str">
        <f>ROUND(194.22*(1+AD6)*(1+AD5)+AD7,2)</f>
        <v>0</v>
      </c>
      <c r="AT110" s="11" t="str">
        <f>ROUND(205.9*(1+AD6)*(1+AD5)+AD7,2)</f>
        <v>0</v>
      </c>
      <c r="AU110" s="11" t="str">
        <f>ROUND(217.48*(1+AD6)*(1+AD5)+AD7,2)</f>
        <v>0</v>
      </c>
      <c r="AV110" s="11" t="str">
        <f>ROUND(229.73*(1+AD6)*(1+AD5)+AD7,2)</f>
        <v>0</v>
      </c>
      <c r="AW110" s="11" t="str">
        <f>ROUND(243.13*(1+AD6)*(1+AD5)+AD7,2)</f>
        <v>0</v>
      </c>
      <c r="AX110" s="11" t="str">
        <f>ROUND(254.53*(1+AD6)*(1+AD5)+AD7,2)</f>
        <v>0</v>
      </c>
      <c r="AY110" s="11" t="str">
        <f>ROUND(266.36*(1+AD6)*(1+AD5)+AD7,2)</f>
        <v>0</v>
      </c>
      <c r="AZ110" s="11" t="str">
        <f>ROUND(277.82*(1+AD6)*(1+AD5)+AD7,2)</f>
        <v>0</v>
      </c>
      <c r="BA110" s="11" t="str">
        <f>ROUND(289.56*(1+AD6)*(1+AD5)+AD7,2)</f>
        <v>0</v>
      </c>
      <c r="BB110" s="11" t="str">
        <f>ROUND(303.6*(1+AD6)*(1+AD5)+AD7,2)</f>
        <v>0</v>
      </c>
      <c r="BC110" s="11" t="str">
        <f>ROUND(318.14*(1+AD6)*(1+AD5)+AD7,2)</f>
        <v>0</v>
      </c>
      <c r="BD110" s="11" t="str">
        <f>ROUND(331.79*(1+AD6)*(1+AD5)+AD7,2)</f>
        <v>0</v>
      </c>
      <c r="BE110" t="str">
        <f>ROUND(343.29*(1+AD6)*(1+AD5)+AD7,2)</f>
        <v>0</v>
      </c>
      <c r="BF110" t="str">
        <f>ROUND(354.2*(1+AD6)*(1+AD5)+AD7,2)</f>
        <v>0</v>
      </c>
    </row>
    <row r="111" spans="1:58">
      <c r="A111" s="11"/>
      <c r="B111" s="13"/>
      <c r="C111" s="17">
        <v>2800</v>
      </c>
      <c r="D111" s="11">
        <v>91.43</v>
      </c>
      <c r="E111" s="11">
        <v>103.4</v>
      </c>
      <c r="F111" s="11">
        <v>115.32</v>
      </c>
      <c r="G111" s="11">
        <v>127.35</v>
      </c>
      <c r="H111" s="11">
        <v>140.26</v>
      </c>
      <c r="I111" s="11">
        <v>153.17</v>
      </c>
      <c r="J111" s="11">
        <v>166.16</v>
      </c>
      <c r="K111" s="11">
        <v>178.46</v>
      </c>
      <c r="L111" s="11">
        <v>191.74</v>
      </c>
      <c r="M111" s="11">
        <v>203.93</v>
      </c>
      <c r="N111" s="11">
        <v>216.2</v>
      </c>
      <c r="O111" s="11">
        <v>228.36</v>
      </c>
      <c r="P111" s="11">
        <v>241.22</v>
      </c>
      <c r="Q111" s="11">
        <v>255.28</v>
      </c>
      <c r="R111" s="11">
        <v>267.26</v>
      </c>
      <c r="S111" s="11">
        <v>279.68</v>
      </c>
      <c r="T111" s="11">
        <v>291.71</v>
      </c>
      <c r="U111" s="11">
        <v>304.04</v>
      </c>
      <c r="V111" s="11">
        <v>318.78</v>
      </c>
      <c r="W111" s="11">
        <v>334.04</v>
      </c>
      <c r="X111" s="11">
        <v>348.38</v>
      </c>
      <c r="Y111" s="11">
        <v>360.46</v>
      </c>
      <c r="Z111" s="11">
        <v>371.91</v>
      </c>
      <c r="AA111" s="11"/>
      <c r="AB111" s="11"/>
      <c r="AC111" s="11"/>
      <c r="AD111" s="11"/>
      <c r="AE111" s="11"/>
      <c r="AF111" s="11"/>
      <c r="AG111" s="12"/>
      <c r="AH111" s="13"/>
      <c r="AI111" s="17">
        <v>2800</v>
      </c>
      <c r="AJ111" s="11" t="str">
        <f>ROUND(91.43*(1+AD6)*(1+AD5)+AD7,2)</f>
        <v>0</v>
      </c>
      <c r="AK111" s="11" t="str">
        <f>ROUND(103.4*(1+AD6)*(1+AD5)+AD7,2)</f>
        <v>0</v>
      </c>
      <c r="AL111" s="11" t="str">
        <f>ROUND(115.32*(1+AD6)*(1+AD5)+AD7,2)</f>
        <v>0</v>
      </c>
      <c r="AM111" s="11" t="str">
        <f>ROUND(127.35*(1+AD6)*(1+AD5)+AD7,2)</f>
        <v>0</v>
      </c>
      <c r="AN111" s="11" t="str">
        <f>ROUND(140.26*(1+AD6)*(1+AD5)+AD7,2)</f>
        <v>0</v>
      </c>
      <c r="AO111" s="11" t="str">
        <f>ROUND(153.17*(1+AD6)*(1+AD5)+AD7,2)</f>
        <v>0</v>
      </c>
      <c r="AP111" s="11" t="str">
        <f>ROUND(166.16*(1+AD6)*(1+AD5)+AD7,2)</f>
        <v>0</v>
      </c>
      <c r="AQ111" s="11" t="str">
        <f>ROUND(178.46*(1+AD6)*(1+AD5)+AD7,2)</f>
        <v>0</v>
      </c>
      <c r="AR111" s="11" t="str">
        <f>ROUND(191.74*(1+AD6)*(1+AD5)+AD7,2)</f>
        <v>0</v>
      </c>
      <c r="AS111" s="11" t="str">
        <f>ROUND(203.93*(1+AD6)*(1+AD5)+AD7,2)</f>
        <v>0</v>
      </c>
      <c r="AT111" s="11" t="str">
        <f>ROUND(216.2*(1+AD6)*(1+AD5)+AD7,2)</f>
        <v>0</v>
      </c>
      <c r="AU111" s="11" t="str">
        <f>ROUND(228.36*(1+AD6)*(1+AD5)+AD7,2)</f>
        <v>0</v>
      </c>
      <c r="AV111" s="11" t="str">
        <f>ROUND(241.22*(1+AD6)*(1+AD5)+AD7,2)</f>
        <v>0</v>
      </c>
      <c r="AW111" s="11" t="str">
        <f>ROUND(255.28*(1+AD6)*(1+AD5)+AD7,2)</f>
        <v>0</v>
      </c>
      <c r="AX111" s="11" t="str">
        <f>ROUND(267.26*(1+AD6)*(1+AD5)+AD7,2)</f>
        <v>0</v>
      </c>
      <c r="AY111" s="11" t="str">
        <f>ROUND(279.68*(1+AD6)*(1+AD5)+AD7,2)</f>
        <v>0</v>
      </c>
      <c r="AZ111" s="11" t="str">
        <f>ROUND(291.71*(1+AD6)*(1+AD5)+AD7,2)</f>
        <v>0</v>
      </c>
      <c r="BA111" s="11" t="str">
        <f>ROUND(304.04*(1+AD6)*(1+AD5)+AD7,2)</f>
        <v>0</v>
      </c>
      <c r="BB111" s="11" t="str">
        <f>ROUND(318.78*(1+AD6)*(1+AD5)+AD7,2)</f>
        <v>0</v>
      </c>
      <c r="BC111" s="11" t="str">
        <f>ROUND(334.04*(1+AD6)*(1+AD5)+AD7,2)</f>
        <v>0</v>
      </c>
      <c r="BD111" s="11" t="str">
        <f>ROUND(348.38*(1+AD6)*(1+AD5)+AD7,2)</f>
        <v>0</v>
      </c>
      <c r="BE111" t="str">
        <f>ROUND(360.46*(1+AD6)*(1+AD5)+AD7,2)</f>
        <v>0</v>
      </c>
      <c r="BF111" t="str">
        <f>ROUND(371.91*(1+AD6)*(1+AD5)+AD7,2)</f>
        <v>0</v>
      </c>
    </row>
    <row r="112" spans="1:58">
      <c r="B112" s="10"/>
      <c r="C112" s="8">
        <v>2900</v>
      </c>
      <c r="D112">
        <v>96</v>
      </c>
      <c r="E112">
        <v>108.57</v>
      </c>
      <c r="F112">
        <v>121.08</v>
      </c>
      <c r="G112">
        <v>133.72</v>
      </c>
      <c r="H112">
        <v>147.28</v>
      </c>
      <c r="I112">
        <v>160.82</v>
      </c>
      <c r="J112">
        <v>174.47</v>
      </c>
      <c r="K112">
        <v>187.39</v>
      </c>
      <c r="L112">
        <v>201.32</v>
      </c>
      <c r="M112">
        <v>214.13</v>
      </c>
      <c r="N112">
        <v>227.01</v>
      </c>
      <c r="O112">
        <v>239.78</v>
      </c>
      <c r="P112">
        <v>253.28</v>
      </c>
      <c r="Q112">
        <v>268.05</v>
      </c>
      <c r="R112">
        <v>280.62</v>
      </c>
      <c r="S112">
        <v>293.66</v>
      </c>
      <c r="T112">
        <v>306.29</v>
      </c>
      <c r="U112">
        <v>319.24</v>
      </c>
      <c r="V112">
        <v>334.72</v>
      </c>
      <c r="W112">
        <v>350.75</v>
      </c>
      <c r="X112">
        <v>365.8</v>
      </c>
      <c r="Y112">
        <v>378.48</v>
      </c>
      <c r="Z112">
        <v>390.51</v>
      </c>
      <c r="AA112"/>
      <c r="AG112" s="9"/>
      <c r="AH112" s="10"/>
      <c r="AI112" s="8">
        <v>2900</v>
      </c>
      <c r="AJ112" t="str">
        <f>ROUND(96*(1+AD6)*(1+AD5)+AD7,2)</f>
        <v>0</v>
      </c>
      <c r="AK112" t="str">
        <f>ROUND(108.57*(1+AD6)*(1+AD5)+AD7,2)</f>
        <v>0</v>
      </c>
      <c r="AL112" t="str">
        <f>ROUND(121.08*(1+AD6)*(1+AD5)+AD7,2)</f>
        <v>0</v>
      </c>
      <c r="AM112" t="str">
        <f>ROUND(133.72*(1+AD6)*(1+AD5)+AD7,2)</f>
        <v>0</v>
      </c>
      <c r="AN112" t="str">
        <f>ROUND(147.28*(1+AD6)*(1+AD5)+AD7,2)</f>
        <v>0</v>
      </c>
      <c r="AO112" t="str">
        <f>ROUND(160.82*(1+AD6)*(1+AD5)+AD7,2)</f>
        <v>0</v>
      </c>
      <c r="AP112" t="str">
        <f>ROUND(174.47*(1+AD6)*(1+AD5)+AD7,2)</f>
        <v>0</v>
      </c>
      <c r="AQ112" t="str">
        <f>ROUND(187.39*(1+AD6)*(1+AD5)+AD7,2)</f>
        <v>0</v>
      </c>
      <c r="AR112" t="str">
        <f>ROUND(201.32*(1+AD6)*(1+AD5)+AD7,2)</f>
        <v>0</v>
      </c>
      <c r="AS112" t="str">
        <f>ROUND(214.13*(1+AD6)*(1+AD5)+AD7,2)</f>
        <v>0</v>
      </c>
      <c r="AT112" t="str">
        <f>ROUND(227.01*(1+AD6)*(1+AD5)+AD7,2)</f>
        <v>0</v>
      </c>
      <c r="AU112" t="str">
        <f>ROUND(239.78*(1+AD6)*(1+AD5)+AD7,2)</f>
        <v>0</v>
      </c>
      <c r="AV112" t="str">
        <f>ROUND(253.28*(1+AD6)*(1+AD5)+AD7,2)</f>
        <v>0</v>
      </c>
      <c r="AW112" t="str">
        <f>ROUND(268.05*(1+AD6)*(1+AD5)+AD7,2)</f>
        <v>0</v>
      </c>
      <c r="AX112" t="str">
        <f>ROUND(280.62*(1+AD6)*(1+AD5)+AD7,2)</f>
        <v>0</v>
      </c>
      <c r="AY112" t="str">
        <f>ROUND(293.66*(1+AD6)*(1+AD5)+AD7,2)</f>
        <v>0</v>
      </c>
      <c r="AZ112" t="str">
        <f>ROUND(306.29*(1+AD6)*(1+AD5)+AD7,2)</f>
        <v>0</v>
      </c>
      <c r="BA112" t="str">
        <f>ROUND(319.24*(1+AD6)*(1+AD5)+AD7,2)</f>
        <v>0</v>
      </c>
      <c r="BB112" t="str">
        <f>ROUND(334.72*(1+AD6)*(1+AD5)+AD7,2)</f>
        <v>0</v>
      </c>
      <c r="BC112" t="str">
        <f>ROUND(350.75*(1+AD6)*(1+AD5)+AD7,2)</f>
        <v>0</v>
      </c>
      <c r="BD112" t="str">
        <f>ROUND(365.8*(1+AD6)*(1+AD5)+AD7,2)</f>
        <v>0</v>
      </c>
      <c r="BE112" t="str">
        <f>ROUND(378.48*(1+AD6)*(1+AD5)+AD7,2)</f>
        <v>0</v>
      </c>
      <c r="BF112" t="str">
        <f>ROUND(390.51*(1+AD6)*(1+AD5)+AD7,2)</f>
        <v>0</v>
      </c>
    </row>
    <row r="113" spans="1:58">
      <c r="B113" s="10"/>
      <c r="C113" s="8">
        <v>3000</v>
      </c>
      <c r="D113">
        <v>100.8</v>
      </c>
      <c r="E113">
        <v>114</v>
      </c>
      <c r="F113">
        <v>127.13</v>
      </c>
      <c r="G113">
        <v>140.41</v>
      </c>
      <c r="H113">
        <v>154.64</v>
      </c>
      <c r="I113">
        <v>168.86</v>
      </c>
      <c r="J113">
        <v>183.19</v>
      </c>
      <c r="K113">
        <v>196.76</v>
      </c>
      <c r="L113">
        <v>211.39</v>
      </c>
      <c r="M113">
        <v>224.84</v>
      </c>
      <c r="N113">
        <v>238.36</v>
      </c>
      <c r="O113">
        <v>251.76</v>
      </c>
      <c r="P113">
        <v>265.94</v>
      </c>
      <c r="Q113">
        <v>281.45</v>
      </c>
      <c r="R113">
        <v>294.66</v>
      </c>
      <c r="S113">
        <v>308.34</v>
      </c>
      <c r="T113">
        <v>321.61</v>
      </c>
      <c r="U113">
        <v>335.21</v>
      </c>
      <c r="V113">
        <v>351.46</v>
      </c>
      <c r="W113">
        <v>368.28</v>
      </c>
      <c r="X113">
        <v>384.09</v>
      </c>
      <c r="Y113">
        <v>397.4</v>
      </c>
      <c r="Z113">
        <v>410.03</v>
      </c>
      <c r="AA113"/>
      <c r="AG113" s="9"/>
      <c r="AH113" s="10"/>
      <c r="AI113" s="8">
        <v>3000</v>
      </c>
      <c r="AJ113" t="str">
        <f>ROUND(100.8*(1+AD6)*(1+AD5)+AD7,2)</f>
        <v>0</v>
      </c>
      <c r="AK113" t="str">
        <f>ROUND(114*(1+AD6)*(1+AD5)+AD7,2)</f>
        <v>0</v>
      </c>
      <c r="AL113" t="str">
        <f>ROUND(127.13*(1+AD6)*(1+AD5)+AD7,2)</f>
        <v>0</v>
      </c>
      <c r="AM113" t="str">
        <f>ROUND(140.41*(1+AD6)*(1+AD5)+AD7,2)</f>
        <v>0</v>
      </c>
      <c r="AN113" t="str">
        <f>ROUND(154.64*(1+AD6)*(1+AD5)+AD7,2)</f>
        <v>0</v>
      </c>
      <c r="AO113" t="str">
        <f>ROUND(168.86*(1+AD6)*(1+AD5)+AD7,2)</f>
        <v>0</v>
      </c>
      <c r="AP113" t="str">
        <f>ROUND(183.19*(1+AD6)*(1+AD5)+AD7,2)</f>
        <v>0</v>
      </c>
      <c r="AQ113" t="str">
        <f>ROUND(196.76*(1+AD6)*(1+AD5)+AD7,2)</f>
        <v>0</v>
      </c>
      <c r="AR113" t="str">
        <f>ROUND(211.39*(1+AD6)*(1+AD5)+AD7,2)</f>
        <v>0</v>
      </c>
      <c r="AS113" t="str">
        <f>ROUND(224.84*(1+AD6)*(1+AD5)+AD7,2)</f>
        <v>0</v>
      </c>
      <c r="AT113" t="str">
        <f>ROUND(238.36*(1+AD6)*(1+AD5)+AD7,2)</f>
        <v>0</v>
      </c>
      <c r="AU113" t="str">
        <f>ROUND(251.76*(1+AD6)*(1+AD5)+AD7,2)</f>
        <v>0</v>
      </c>
      <c r="AV113" t="str">
        <f>ROUND(265.94*(1+AD6)*(1+AD5)+AD7,2)</f>
        <v>0</v>
      </c>
      <c r="AW113" t="str">
        <f>ROUND(281.45*(1+AD6)*(1+AD5)+AD7,2)</f>
        <v>0</v>
      </c>
      <c r="AX113" t="str">
        <f>ROUND(294.66*(1+AD6)*(1+AD5)+AD7,2)</f>
        <v>0</v>
      </c>
      <c r="AY113" t="str">
        <f>ROUND(308.34*(1+AD6)*(1+AD5)+AD7,2)</f>
        <v>0</v>
      </c>
      <c r="AZ113" t="str">
        <f>ROUND(321.61*(1+AD6)*(1+AD5)+AD7,2)</f>
        <v>0</v>
      </c>
      <c r="BA113" t="str">
        <f>ROUND(335.21*(1+AD6)*(1+AD5)+AD7,2)</f>
        <v>0</v>
      </c>
      <c r="BB113" t="str">
        <f>ROUND(351.46*(1+AD6)*(1+AD5)+AD7,2)</f>
        <v>0</v>
      </c>
      <c r="BC113" t="str">
        <f>ROUND(368.28*(1+AD6)*(1+AD5)+AD7,2)</f>
        <v>0</v>
      </c>
      <c r="BD113" t="str">
        <f>ROUND(384.09*(1+AD6)*(1+AD5)+AD7,2)</f>
        <v>0</v>
      </c>
      <c r="BE113" t="str">
        <f>ROUND(397.4*(1+AD6)*(1+AD5)+AD7,2)</f>
        <v>0</v>
      </c>
      <c r="BF113" t="str">
        <f>ROUND(410.03*(1+AD6)*(1+AD5)+AD7,2)</f>
        <v>0</v>
      </c>
    </row>
    <row r="114" spans="1:58">
      <c r="B114" s="9"/>
      <c r="AG114" s="9"/>
      <c r="AH114" s="9"/>
    </row>
    <row r="115" spans="1:58">
      <c r="B115" s="9"/>
      <c r="C115" s="5" t="s">
        <v>24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/>
      <c r="AG115" s="9"/>
      <c r="AH115" s="9"/>
      <c r="AI115" s="5" t="s">
        <v>24</v>
      </c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</row>
    <row r="116" spans="1:58">
      <c r="B116" s="9"/>
      <c r="C116" s="5" t="s">
        <v>25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/>
      <c r="AG116" s="9"/>
      <c r="AH116" s="9"/>
      <c r="AI116" s="5" t="s">
        <v>25</v>
      </c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</row>
    <row r="117" spans="1:58">
      <c r="B117" s="9"/>
      <c r="C117" s="7" t="s">
        <v>16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/>
      <c r="AG117" s="9"/>
      <c r="AH117" s="9"/>
      <c r="AI117" s="7" t="s">
        <v>16</v>
      </c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</row>
    <row r="118" spans="1:58">
      <c r="B118" s="10"/>
      <c r="C118" s="8" t="s">
        <v>17</v>
      </c>
      <c r="D118" s="8">
        <v>300</v>
      </c>
      <c r="E118" s="8">
        <v>400</v>
      </c>
      <c r="F118" s="8">
        <v>500</v>
      </c>
      <c r="G118" s="8">
        <v>600</v>
      </c>
      <c r="H118" s="8">
        <v>700</v>
      </c>
      <c r="I118" s="8">
        <v>800</v>
      </c>
      <c r="J118" s="8">
        <v>900</v>
      </c>
      <c r="K118" s="8">
        <v>1000</v>
      </c>
      <c r="L118" s="8">
        <v>1100</v>
      </c>
      <c r="M118" s="8">
        <v>1200</v>
      </c>
      <c r="N118" s="8">
        <v>1300</v>
      </c>
      <c r="O118" s="8">
        <v>1400</v>
      </c>
      <c r="P118" s="8">
        <v>1500</v>
      </c>
      <c r="Q118" s="8">
        <v>1600</v>
      </c>
      <c r="R118" s="8">
        <v>1700</v>
      </c>
      <c r="S118" s="8">
        <v>1800</v>
      </c>
      <c r="T118" s="8">
        <v>1900</v>
      </c>
      <c r="U118" s="8">
        <v>2000</v>
      </c>
      <c r="V118" s="8">
        <v>2100</v>
      </c>
      <c r="W118" s="8">
        <v>2200</v>
      </c>
      <c r="X118" s="8">
        <v>2300</v>
      </c>
      <c r="Y118" s="8">
        <v>2400</v>
      </c>
      <c r="Z118" s="8">
        <v>2500</v>
      </c>
      <c r="AA118"/>
      <c r="AG118" s="9"/>
      <c r="AH118" s="10"/>
      <c r="AI118" s="8" t="s">
        <v>17</v>
      </c>
      <c r="AJ118" s="8">
        <v>300</v>
      </c>
      <c r="AK118" s="8">
        <v>400</v>
      </c>
      <c r="AL118" s="8">
        <v>500</v>
      </c>
      <c r="AM118" s="8">
        <v>600</v>
      </c>
      <c r="AN118" s="8">
        <v>700</v>
      </c>
      <c r="AO118" s="8">
        <v>800</v>
      </c>
      <c r="AP118" s="8">
        <v>900</v>
      </c>
      <c r="AQ118" s="8">
        <v>1000</v>
      </c>
      <c r="AR118" s="8">
        <v>1100</v>
      </c>
      <c r="AS118" s="8">
        <v>1200</v>
      </c>
      <c r="AT118" s="8">
        <v>1300</v>
      </c>
      <c r="AU118" s="8">
        <v>1400</v>
      </c>
      <c r="AV118" s="8">
        <v>1500</v>
      </c>
      <c r="AW118" s="8">
        <v>1600</v>
      </c>
      <c r="AX118" s="8">
        <v>1700</v>
      </c>
      <c r="AY118" s="8">
        <v>1800</v>
      </c>
      <c r="AZ118" s="8">
        <v>1900</v>
      </c>
      <c r="BA118" s="8">
        <v>2000</v>
      </c>
      <c r="BB118" s="8">
        <v>2100</v>
      </c>
      <c r="BC118" s="8">
        <v>2200</v>
      </c>
      <c r="BD118" s="8">
        <v>2300</v>
      </c>
      <c r="BE118" s="8">
        <v>2400</v>
      </c>
      <c r="BF118" s="8">
        <v>2500</v>
      </c>
    </row>
    <row r="119" spans="1:58">
      <c r="B119" s="10" t="s">
        <v>18</v>
      </c>
      <c r="C119" s="8">
        <v>1000</v>
      </c>
      <c r="D119">
        <v>78.23</v>
      </c>
      <c r="E119">
        <v>86.97</v>
      </c>
      <c r="F119">
        <v>95.68</v>
      </c>
      <c r="G119">
        <v>104.51</v>
      </c>
      <c r="H119">
        <v>114.07</v>
      </c>
      <c r="I119">
        <v>123.66</v>
      </c>
      <c r="J119">
        <v>133.3</v>
      </c>
      <c r="K119">
        <v>142.32</v>
      </c>
      <c r="L119">
        <v>152.36</v>
      </c>
      <c r="M119">
        <v>161.32</v>
      </c>
      <c r="N119">
        <v>170.35</v>
      </c>
      <c r="O119">
        <v>179.25</v>
      </c>
      <c r="P119">
        <v>188.79</v>
      </c>
      <c r="Q119">
        <v>199.49</v>
      </c>
      <c r="R119">
        <v>208.25</v>
      </c>
      <c r="S119">
        <v>217.39</v>
      </c>
      <c r="T119">
        <v>226.23</v>
      </c>
      <c r="U119">
        <v>235.27</v>
      </c>
      <c r="V119">
        <v>246.58</v>
      </c>
      <c r="W119">
        <v>258.17</v>
      </c>
      <c r="X119">
        <v>268.97</v>
      </c>
      <c r="Y119">
        <v>277.84</v>
      </c>
      <c r="Z119">
        <v>286.71</v>
      </c>
      <c r="AA119"/>
      <c r="AG119" s="9"/>
      <c r="AH119" s="10" t="s">
        <v>18</v>
      </c>
      <c r="AI119" s="8">
        <v>1000</v>
      </c>
      <c r="AJ119" t="str">
        <f>ROUND(78.23*(1+AD6)*(1+AD5)+AD7,2)</f>
        <v>0</v>
      </c>
      <c r="AK119" t="str">
        <f>ROUND(86.97*(1+AD6)*(1+AD5)+AD7,2)</f>
        <v>0</v>
      </c>
      <c r="AL119" t="str">
        <f>ROUND(95.68*(1+AD6)*(1+AD5)+AD7,2)</f>
        <v>0</v>
      </c>
      <c r="AM119" t="str">
        <f>ROUND(104.51*(1+AD6)*(1+AD5)+AD7,2)</f>
        <v>0</v>
      </c>
      <c r="AN119" t="str">
        <f>ROUND(114.07*(1+AD6)*(1+AD5)+AD7,2)</f>
        <v>0</v>
      </c>
      <c r="AO119" t="str">
        <f>ROUND(123.66*(1+AD6)*(1+AD5)+AD7,2)</f>
        <v>0</v>
      </c>
      <c r="AP119" t="str">
        <f>ROUND(133.3*(1+AD6)*(1+AD5)+AD7,2)</f>
        <v>0</v>
      </c>
      <c r="AQ119" t="str">
        <f>ROUND(142.32*(1+AD6)*(1+AD5)+AD7,2)</f>
        <v>0</v>
      </c>
      <c r="AR119" t="str">
        <f>ROUND(152.36*(1+AD6)*(1+AD5)+AD7,2)</f>
        <v>0</v>
      </c>
      <c r="AS119" t="str">
        <f>ROUND(161.32*(1+AD6)*(1+AD5)+AD7,2)</f>
        <v>0</v>
      </c>
      <c r="AT119" t="str">
        <f>ROUND(170.35*(1+AD6)*(1+AD5)+AD7,2)</f>
        <v>0</v>
      </c>
      <c r="AU119" t="str">
        <f>ROUND(179.25*(1+AD6)*(1+AD5)+AD7,2)</f>
        <v>0</v>
      </c>
      <c r="AV119" t="str">
        <f>ROUND(188.79*(1+AD6)*(1+AD5)+AD7,2)</f>
        <v>0</v>
      </c>
      <c r="AW119" t="str">
        <f>ROUND(199.49*(1+AD6)*(1+AD5)+AD7,2)</f>
        <v>0</v>
      </c>
      <c r="AX119" t="str">
        <f>ROUND(208.25*(1+AD6)*(1+AD5)+AD7,2)</f>
        <v>0</v>
      </c>
      <c r="AY119" t="str">
        <f>ROUND(217.39*(1+AD6)*(1+AD5)+AD7,2)</f>
        <v>0</v>
      </c>
      <c r="AZ119" t="str">
        <f>ROUND(226.23*(1+AD6)*(1+AD5)+AD7,2)</f>
        <v>0</v>
      </c>
      <c r="BA119" t="str">
        <f>ROUND(235.27*(1+AD6)*(1+AD5)+AD7,2)</f>
        <v>0</v>
      </c>
      <c r="BB119" t="str">
        <f>ROUND(246.58*(1+AD6)*(1+AD5)+AD7,2)</f>
        <v>0</v>
      </c>
      <c r="BC119" t="str">
        <f>ROUND(258.17*(1+AD6)*(1+AD5)+AD7,2)</f>
        <v>0</v>
      </c>
      <c r="BD119" t="str">
        <f>ROUND(268.97*(1+AD6)*(1+AD5)+AD7,2)</f>
        <v>0</v>
      </c>
      <c r="BE119" t="str">
        <f>ROUND(277.84*(1+AD6)*(1+AD5)+AD7,2)</f>
        <v>0</v>
      </c>
      <c r="BF119" t="str">
        <f>ROUND(286.71*(1+AD6)*(1+AD5)+AD7,2)</f>
        <v>0</v>
      </c>
    </row>
    <row r="120" spans="1:58">
      <c r="B120" s="10"/>
      <c r="C120" s="8">
        <v>1100</v>
      </c>
      <c r="D120">
        <v>78.96</v>
      </c>
      <c r="E120">
        <v>87.91</v>
      </c>
      <c r="F120">
        <v>96.82</v>
      </c>
      <c r="G120">
        <v>105.85</v>
      </c>
      <c r="H120">
        <v>115.61</v>
      </c>
      <c r="I120">
        <v>125.43</v>
      </c>
      <c r="J120">
        <v>135.26</v>
      </c>
      <c r="K120">
        <v>144.5</v>
      </c>
      <c r="L120">
        <v>154.74</v>
      </c>
      <c r="M120">
        <v>163.94</v>
      </c>
      <c r="N120">
        <v>173.11</v>
      </c>
      <c r="O120">
        <v>182.29</v>
      </c>
      <c r="P120">
        <v>192.02</v>
      </c>
      <c r="Q120">
        <v>202.92</v>
      </c>
      <c r="R120">
        <v>211.85</v>
      </c>
      <c r="S120">
        <v>221.2</v>
      </c>
      <c r="T120">
        <v>230.24</v>
      </c>
      <c r="U120">
        <v>239.48</v>
      </c>
      <c r="V120">
        <v>251.03</v>
      </c>
      <c r="W120">
        <v>262.83</v>
      </c>
      <c r="X120">
        <v>273.83</v>
      </c>
      <c r="Y120">
        <v>282.87</v>
      </c>
      <c r="Z120">
        <v>291.92</v>
      </c>
      <c r="AA120"/>
      <c r="AG120" s="9"/>
      <c r="AH120" s="10"/>
      <c r="AI120" s="8">
        <v>1100</v>
      </c>
      <c r="AJ120" t="str">
        <f>ROUND(78.96*(1+AD6)*(1+AD5)+AD7,2)</f>
        <v>0</v>
      </c>
      <c r="AK120" t="str">
        <f>ROUND(87.91*(1+AD6)*(1+AD5)+AD7,2)</f>
        <v>0</v>
      </c>
      <c r="AL120" t="str">
        <f>ROUND(96.82*(1+AD6)*(1+AD5)+AD7,2)</f>
        <v>0</v>
      </c>
      <c r="AM120" t="str">
        <f>ROUND(105.85*(1+AD6)*(1+AD5)+AD7,2)</f>
        <v>0</v>
      </c>
      <c r="AN120" t="str">
        <f>ROUND(115.61*(1+AD6)*(1+AD5)+AD7,2)</f>
        <v>0</v>
      </c>
      <c r="AO120" t="str">
        <f>ROUND(125.43*(1+AD6)*(1+AD5)+AD7,2)</f>
        <v>0</v>
      </c>
      <c r="AP120" t="str">
        <f>ROUND(135.26*(1+AD6)*(1+AD5)+AD7,2)</f>
        <v>0</v>
      </c>
      <c r="AQ120" t="str">
        <f>ROUND(144.5*(1+AD6)*(1+AD5)+AD7,2)</f>
        <v>0</v>
      </c>
      <c r="AR120" t="str">
        <f>ROUND(154.74*(1+AD6)*(1+AD5)+AD7,2)</f>
        <v>0</v>
      </c>
      <c r="AS120" t="str">
        <f>ROUND(163.94*(1+AD6)*(1+AD5)+AD7,2)</f>
        <v>0</v>
      </c>
      <c r="AT120" t="str">
        <f>ROUND(173.11*(1+AD6)*(1+AD5)+AD7,2)</f>
        <v>0</v>
      </c>
      <c r="AU120" t="str">
        <f>ROUND(182.29*(1+AD6)*(1+AD5)+AD7,2)</f>
        <v>0</v>
      </c>
      <c r="AV120" t="str">
        <f>ROUND(192.02*(1+AD6)*(1+AD5)+AD7,2)</f>
        <v>0</v>
      </c>
      <c r="AW120" t="str">
        <f>ROUND(202.92*(1+AD6)*(1+AD5)+AD7,2)</f>
        <v>0</v>
      </c>
      <c r="AX120" t="str">
        <f>ROUND(211.85*(1+AD6)*(1+AD5)+AD7,2)</f>
        <v>0</v>
      </c>
      <c r="AY120" t="str">
        <f>ROUND(221.2*(1+AD6)*(1+AD5)+AD7,2)</f>
        <v>0</v>
      </c>
      <c r="AZ120" t="str">
        <f>ROUND(230.24*(1+AD6)*(1+AD5)+AD7,2)</f>
        <v>0</v>
      </c>
      <c r="BA120" t="str">
        <f>ROUND(239.48*(1+AD6)*(1+AD5)+AD7,2)</f>
        <v>0</v>
      </c>
      <c r="BB120" t="str">
        <f>ROUND(251.03*(1+AD6)*(1+AD5)+AD7,2)</f>
        <v>0</v>
      </c>
      <c r="BC120" t="str">
        <f>ROUND(262.83*(1+AD6)*(1+AD5)+AD7,2)</f>
        <v>0</v>
      </c>
      <c r="BD120" t="str">
        <f>ROUND(273.83*(1+AD6)*(1+AD5)+AD7,2)</f>
        <v>0</v>
      </c>
      <c r="BE120" t="str">
        <f>ROUND(282.87*(1+AD6)*(1+AD5)+AD7,2)</f>
        <v>0</v>
      </c>
      <c r="BF120" t="str">
        <f>ROUND(291.92*(1+AD6)*(1+AD5)+AD7,2)</f>
        <v>0</v>
      </c>
    </row>
    <row r="121" spans="1:58">
      <c r="B121" s="10"/>
      <c r="C121" s="8">
        <v>1200</v>
      </c>
      <c r="D121">
        <v>79.7</v>
      </c>
      <c r="E121">
        <v>88.85</v>
      </c>
      <c r="F121">
        <v>97.98</v>
      </c>
      <c r="G121">
        <v>107.2</v>
      </c>
      <c r="H121">
        <v>117.16</v>
      </c>
      <c r="I121">
        <v>127.17</v>
      </c>
      <c r="J121">
        <v>137.23</v>
      </c>
      <c r="K121">
        <v>146.71</v>
      </c>
      <c r="L121">
        <v>157.16</v>
      </c>
      <c r="M121">
        <v>166.54</v>
      </c>
      <c r="N121">
        <v>179.07</v>
      </c>
      <c r="O121">
        <v>185.28</v>
      </c>
      <c r="P121">
        <v>195.18</v>
      </c>
      <c r="Q121">
        <v>206.34</v>
      </c>
      <c r="R121">
        <v>215.48</v>
      </c>
      <c r="S121">
        <v>225.06</v>
      </c>
      <c r="T121">
        <v>234.27</v>
      </c>
      <c r="U121">
        <v>243.78</v>
      </c>
      <c r="V121">
        <v>255.47</v>
      </c>
      <c r="W121">
        <v>267.47</v>
      </c>
      <c r="X121">
        <v>278.67</v>
      </c>
      <c r="Y121">
        <v>287.97</v>
      </c>
      <c r="Z121">
        <v>297.15</v>
      </c>
      <c r="AA121"/>
      <c r="AG121" s="9"/>
      <c r="AH121" s="10"/>
      <c r="AI121" s="8">
        <v>1200</v>
      </c>
      <c r="AJ121" t="str">
        <f>ROUND(79.7*(1+AD6)*(1+AD5)+AD7,2)</f>
        <v>0</v>
      </c>
      <c r="AK121" t="str">
        <f>ROUND(88.85*(1+AD6)*(1+AD5)+AD7,2)</f>
        <v>0</v>
      </c>
      <c r="AL121" t="str">
        <f>ROUND(97.98*(1+AD6)*(1+AD5)+AD7,2)</f>
        <v>0</v>
      </c>
      <c r="AM121" t="str">
        <f>ROUND(107.2*(1+AD6)*(1+AD5)+AD7,2)</f>
        <v>0</v>
      </c>
      <c r="AN121" t="str">
        <f>ROUND(117.16*(1+AD6)*(1+AD5)+AD7,2)</f>
        <v>0</v>
      </c>
      <c r="AO121" t="str">
        <f>ROUND(127.17*(1+AD6)*(1+AD5)+AD7,2)</f>
        <v>0</v>
      </c>
      <c r="AP121" t="str">
        <f>ROUND(137.23*(1+AD6)*(1+AD5)+AD7,2)</f>
        <v>0</v>
      </c>
      <c r="AQ121" t="str">
        <f>ROUND(146.71*(1+AD6)*(1+AD5)+AD7,2)</f>
        <v>0</v>
      </c>
      <c r="AR121" t="str">
        <f>ROUND(157.16*(1+AD6)*(1+AD5)+AD7,2)</f>
        <v>0</v>
      </c>
      <c r="AS121" t="str">
        <f>ROUND(166.54*(1+AD6)*(1+AD5)+AD7,2)</f>
        <v>0</v>
      </c>
      <c r="AT121" t="str">
        <f>ROUND(179.07*(1+AD6)*(1+AD5)+AD7,2)</f>
        <v>0</v>
      </c>
      <c r="AU121" t="str">
        <f>ROUND(185.28*(1+AD6)*(1+AD5)+AD7,2)</f>
        <v>0</v>
      </c>
      <c r="AV121" t="str">
        <f>ROUND(195.18*(1+AD6)*(1+AD5)+AD7,2)</f>
        <v>0</v>
      </c>
      <c r="AW121" t="str">
        <f>ROUND(206.34*(1+AD6)*(1+AD5)+AD7,2)</f>
        <v>0</v>
      </c>
      <c r="AX121" t="str">
        <f>ROUND(215.48*(1+AD6)*(1+AD5)+AD7,2)</f>
        <v>0</v>
      </c>
      <c r="AY121" t="str">
        <f>ROUND(225.06*(1+AD6)*(1+AD5)+AD7,2)</f>
        <v>0</v>
      </c>
      <c r="AZ121" t="str">
        <f>ROUND(234.27*(1+AD6)*(1+AD5)+AD7,2)</f>
        <v>0</v>
      </c>
      <c r="BA121" t="str">
        <f>ROUND(243.78*(1+AD6)*(1+AD5)+AD7,2)</f>
        <v>0</v>
      </c>
      <c r="BB121" t="str">
        <f>ROUND(255.47*(1+AD6)*(1+AD5)+AD7,2)</f>
        <v>0</v>
      </c>
      <c r="BC121" t="str">
        <f>ROUND(267.47*(1+AD6)*(1+AD5)+AD7,2)</f>
        <v>0</v>
      </c>
      <c r="BD121" t="str">
        <f>ROUND(278.67*(1+AD6)*(1+AD5)+AD7,2)</f>
        <v>0</v>
      </c>
      <c r="BE121" t="str">
        <f>ROUND(287.97*(1+AD6)*(1+AD5)+AD7,2)</f>
        <v>0</v>
      </c>
      <c r="BF121" t="str">
        <f>ROUND(297.15*(1+AD6)*(1+AD5)+AD7,2)</f>
        <v>0</v>
      </c>
    </row>
    <row r="122" spans="1:58">
      <c r="B122" s="10"/>
      <c r="C122" s="8">
        <v>1300</v>
      </c>
      <c r="D122">
        <v>80.41</v>
      </c>
      <c r="E122">
        <v>89.75</v>
      </c>
      <c r="F122">
        <v>99.13</v>
      </c>
      <c r="G122">
        <v>108.56</v>
      </c>
      <c r="H122">
        <v>118.74</v>
      </c>
      <c r="I122">
        <v>128.73</v>
      </c>
      <c r="J122">
        <v>139.16</v>
      </c>
      <c r="K122">
        <v>148.86</v>
      </c>
      <c r="L122">
        <v>159.52</v>
      </c>
      <c r="M122">
        <v>169.08</v>
      </c>
      <c r="N122">
        <v>178.71</v>
      </c>
      <c r="O122">
        <v>188.29</v>
      </c>
      <c r="P122">
        <v>198.42</v>
      </c>
      <c r="Q122">
        <v>209.74</v>
      </c>
      <c r="R122">
        <v>219.09</v>
      </c>
      <c r="S122">
        <v>228.88</v>
      </c>
      <c r="T122">
        <v>238.32</v>
      </c>
      <c r="U122">
        <v>247.99</v>
      </c>
      <c r="V122">
        <v>259.9</v>
      </c>
      <c r="W122">
        <v>272.14</v>
      </c>
      <c r="X122">
        <v>283.57</v>
      </c>
      <c r="Y122">
        <v>293.03</v>
      </c>
      <c r="Z122">
        <v>302.37</v>
      </c>
      <c r="AA122"/>
      <c r="AG122" s="9"/>
      <c r="AH122" s="10"/>
      <c r="AI122" s="8">
        <v>1300</v>
      </c>
      <c r="AJ122" t="str">
        <f>ROUND(80.41*(1+AD6)*(1+AD5)+AD7,2)</f>
        <v>0</v>
      </c>
      <c r="AK122" t="str">
        <f>ROUND(89.75*(1+AD6)*(1+AD5)+AD7,2)</f>
        <v>0</v>
      </c>
      <c r="AL122" t="str">
        <f>ROUND(99.13*(1+AD6)*(1+AD5)+AD7,2)</f>
        <v>0</v>
      </c>
      <c r="AM122" t="str">
        <f>ROUND(108.56*(1+AD6)*(1+AD5)+AD7,2)</f>
        <v>0</v>
      </c>
      <c r="AN122" t="str">
        <f>ROUND(118.74*(1+AD6)*(1+AD5)+AD7,2)</f>
        <v>0</v>
      </c>
      <c r="AO122" t="str">
        <f>ROUND(128.73*(1+AD6)*(1+AD5)+AD7,2)</f>
        <v>0</v>
      </c>
      <c r="AP122" t="str">
        <f>ROUND(139.16*(1+AD6)*(1+AD5)+AD7,2)</f>
        <v>0</v>
      </c>
      <c r="AQ122" t="str">
        <f>ROUND(148.86*(1+AD6)*(1+AD5)+AD7,2)</f>
        <v>0</v>
      </c>
      <c r="AR122" t="str">
        <f>ROUND(159.52*(1+AD6)*(1+AD5)+AD7,2)</f>
        <v>0</v>
      </c>
      <c r="AS122" t="str">
        <f>ROUND(169.08*(1+AD6)*(1+AD5)+AD7,2)</f>
        <v>0</v>
      </c>
      <c r="AT122" t="str">
        <f>ROUND(178.71*(1+AD6)*(1+AD5)+AD7,2)</f>
        <v>0</v>
      </c>
      <c r="AU122" t="str">
        <f>ROUND(188.29*(1+AD6)*(1+AD5)+AD7,2)</f>
        <v>0</v>
      </c>
      <c r="AV122" t="str">
        <f>ROUND(198.42*(1+AD6)*(1+AD5)+AD7,2)</f>
        <v>0</v>
      </c>
      <c r="AW122" t="str">
        <f>ROUND(209.74*(1+AD6)*(1+AD5)+AD7,2)</f>
        <v>0</v>
      </c>
      <c r="AX122" t="str">
        <f>ROUND(219.09*(1+AD6)*(1+AD5)+AD7,2)</f>
        <v>0</v>
      </c>
      <c r="AY122" t="str">
        <f>ROUND(228.88*(1+AD6)*(1+AD5)+AD7,2)</f>
        <v>0</v>
      </c>
      <c r="AZ122" t="str">
        <f>ROUND(238.32*(1+AD6)*(1+AD5)+AD7,2)</f>
        <v>0</v>
      </c>
      <c r="BA122" t="str">
        <f>ROUND(247.99*(1+AD6)*(1+AD5)+AD7,2)</f>
        <v>0</v>
      </c>
      <c r="BB122" t="str">
        <f>ROUND(259.9*(1+AD6)*(1+AD5)+AD7,2)</f>
        <v>0</v>
      </c>
      <c r="BC122" t="str">
        <f>ROUND(272.14*(1+AD6)*(1+AD5)+AD7,2)</f>
        <v>0</v>
      </c>
      <c r="BD122" t="str">
        <f>ROUND(283.57*(1+AD6)*(1+AD5)+AD7,2)</f>
        <v>0</v>
      </c>
      <c r="BE122" t="str">
        <f>ROUND(293.03*(1+AD6)*(1+AD5)+AD7,2)</f>
        <v>0</v>
      </c>
      <c r="BF122" t="str">
        <f>ROUND(302.37*(1+AD6)*(1+AD5)+AD7,2)</f>
        <v>0</v>
      </c>
    </row>
    <row r="123" spans="1:58">
      <c r="B123" s="10"/>
      <c r="C123" s="8">
        <v>1400</v>
      </c>
      <c r="D123">
        <v>81.14</v>
      </c>
      <c r="E123">
        <v>90.73</v>
      </c>
      <c r="F123">
        <v>100.28</v>
      </c>
      <c r="G123">
        <v>109.92</v>
      </c>
      <c r="H123">
        <v>120.32</v>
      </c>
      <c r="I123">
        <v>130.71</v>
      </c>
      <c r="J123">
        <v>141.16</v>
      </c>
      <c r="K123">
        <v>151.04</v>
      </c>
      <c r="L123">
        <v>161.9</v>
      </c>
      <c r="M123">
        <v>171.7</v>
      </c>
      <c r="N123">
        <v>181.52</v>
      </c>
      <c r="O123">
        <v>191.28</v>
      </c>
      <c r="P123">
        <v>201.62</v>
      </c>
      <c r="Q123">
        <v>213.13</v>
      </c>
      <c r="R123">
        <v>222.7</v>
      </c>
      <c r="S123">
        <v>232.62</v>
      </c>
      <c r="T123">
        <v>242.34</v>
      </c>
      <c r="U123">
        <v>252.23</v>
      </c>
      <c r="V123">
        <v>264.34</v>
      </c>
      <c r="W123">
        <v>276.75</v>
      </c>
      <c r="X123">
        <v>288.41</v>
      </c>
      <c r="Y123">
        <v>298.08</v>
      </c>
      <c r="Z123">
        <v>307.59</v>
      </c>
      <c r="AA123"/>
      <c r="AG123" s="9"/>
      <c r="AH123" s="10"/>
      <c r="AI123" s="8">
        <v>1400</v>
      </c>
      <c r="AJ123" t="str">
        <f>ROUND(81.14*(1+AD6)*(1+AD5)+AD7,2)</f>
        <v>0</v>
      </c>
      <c r="AK123" t="str">
        <f>ROUND(90.73*(1+AD6)*(1+AD5)+AD7,2)</f>
        <v>0</v>
      </c>
      <c r="AL123" t="str">
        <f>ROUND(100.28*(1+AD6)*(1+AD5)+AD7,2)</f>
        <v>0</v>
      </c>
      <c r="AM123" t="str">
        <f>ROUND(109.92*(1+AD6)*(1+AD5)+AD7,2)</f>
        <v>0</v>
      </c>
      <c r="AN123" t="str">
        <f>ROUND(120.32*(1+AD6)*(1+AD5)+AD7,2)</f>
        <v>0</v>
      </c>
      <c r="AO123" t="str">
        <f>ROUND(130.71*(1+AD6)*(1+AD5)+AD7,2)</f>
        <v>0</v>
      </c>
      <c r="AP123" t="str">
        <f>ROUND(141.16*(1+AD6)*(1+AD5)+AD7,2)</f>
        <v>0</v>
      </c>
      <c r="AQ123" t="str">
        <f>ROUND(151.04*(1+AD6)*(1+AD5)+AD7,2)</f>
        <v>0</v>
      </c>
      <c r="AR123" t="str">
        <f>ROUND(161.9*(1+AD6)*(1+AD5)+AD7,2)</f>
        <v>0</v>
      </c>
      <c r="AS123" t="str">
        <f>ROUND(171.7*(1+AD6)*(1+AD5)+AD7,2)</f>
        <v>0</v>
      </c>
      <c r="AT123" t="str">
        <f>ROUND(181.52*(1+AD6)*(1+AD5)+AD7,2)</f>
        <v>0</v>
      </c>
      <c r="AU123" t="str">
        <f>ROUND(191.28*(1+AD6)*(1+AD5)+AD7,2)</f>
        <v>0</v>
      </c>
      <c r="AV123" t="str">
        <f>ROUND(201.62*(1+AD6)*(1+AD5)+AD7,2)</f>
        <v>0</v>
      </c>
      <c r="AW123" t="str">
        <f>ROUND(213.13*(1+AD6)*(1+AD5)+AD7,2)</f>
        <v>0</v>
      </c>
      <c r="AX123" t="str">
        <f>ROUND(222.7*(1+AD6)*(1+AD5)+AD7,2)</f>
        <v>0</v>
      </c>
      <c r="AY123" t="str">
        <f>ROUND(232.62*(1+AD6)*(1+AD5)+AD7,2)</f>
        <v>0</v>
      </c>
      <c r="AZ123" t="str">
        <f>ROUND(242.34*(1+AD6)*(1+AD5)+AD7,2)</f>
        <v>0</v>
      </c>
      <c r="BA123" t="str">
        <f>ROUND(252.23*(1+AD6)*(1+AD5)+AD7,2)</f>
        <v>0</v>
      </c>
      <c r="BB123" t="str">
        <f>ROUND(264.34*(1+AD6)*(1+AD5)+AD7,2)</f>
        <v>0</v>
      </c>
      <c r="BC123" t="str">
        <f>ROUND(276.75*(1+AD6)*(1+AD5)+AD7,2)</f>
        <v>0</v>
      </c>
      <c r="BD123" t="str">
        <f>ROUND(288.41*(1+AD6)*(1+AD5)+AD7,2)</f>
        <v>0</v>
      </c>
      <c r="BE123" t="str">
        <f>ROUND(298.08*(1+AD6)*(1+AD5)+AD7,2)</f>
        <v>0</v>
      </c>
      <c r="BF123" t="str">
        <f>ROUND(307.59*(1+AD6)*(1+AD5)+AD7,2)</f>
        <v>0</v>
      </c>
    </row>
    <row r="124" spans="1:58">
      <c r="B124" s="10"/>
      <c r="C124" s="8">
        <v>1500</v>
      </c>
      <c r="D124">
        <v>81.87</v>
      </c>
      <c r="E124">
        <v>91.64</v>
      </c>
      <c r="F124">
        <v>101.43</v>
      </c>
      <c r="G124">
        <v>111.25</v>
      </c>
      <c r="H124">
        <v>121.84</v>
      </c>
      <c r="I124">
        <v>132.47</v>
      </c>
      <c r="J124">
        <v>143.13</v>
      </c>
      <c r="K124">
        <v>153.24</v>
      </c>
      <c r="L124">
        <v>164.26</v>
      </c>
      <c r="M124">
        <v>174.31</v>
      </c>
      <c r="N124">
        <v>184.31</v>
      </c>
      <c r="O124">
        <v>194.25</v>
      </c>
      <c r="P124">
        <v>204.85</v>
      </c>
      <c r="Q124">
        <v>216.53</v>
      </c>
      <c r="R124">
        <v>226.33</v>
      </c>
      <c r="S124">
        <v>236.52</v>
      </c>
      <c r="T124">
        <v>246.4</v>
      </c>
      <c r="U124">
        <v>256.46</v>
      </c>
      <c r="V124">
        <v>268.83</v>
      </c>
      <c r="W124">
        <v>281.43</v>
      </c>
      <c r="X124">
        <v>293.31</v>
      </c>
      <c r="Y124">
        <v>303.18</v>
      </c>
      <c r="Z124">
        <v>312.8</v>
      </c>
      <c r="AA124"/>
      <c r="AG124" s="9"/>
      <c r="AH124" s="10"/>
      <c r="AI124" s="8">
        <v>1500</v>
      </c>
      <c r="AJ124" t="str">
        <f>ROUND(81.87*(1+AD6)*(1+AD5)+AD7,2)</f>
        <v>0</v>
      </c>
      <c r="AK124" t="str">
        <f>ROUND(91.64*(1+AD6)*(1+AD5)+AD7,2)</f>
        <v>0</v>
      </c>
      <c r="AL124" t="str">
        <f>ROUND(101.43*(1+AD6)*(1+AD5)+AD7,2)</f>
        <v>0</v>
      </c>
      <c r="AM124" t="str">
        <f>ROUND(111.25*(1+AD6)*(1+AD5)+AD7,2)</f>
        <v>0</v>
      </c>
      <c r="AN124" t="str">
        <f>ROUND(121.84*(1+AD6)*(1+AD5)+AD7,2)</f>
        <v>0</v>
      </c>
      <c r="AO124" t="str">
        <f>ROUND(132.47*(1+AD6)*(1+AD5)+AD7,2)</f>
        <v>0</v>
      </c>
      <c r="AP124" t="str">
        <f>ROUND(143.13*(1+AD6)*(1+AD5)+AD7,2)</f>
        <v>0</v>
      </c>
      <c r="AQ124" t="str">
        <f>ROUND(153.24*(1+AD6)*(1+AD5)+AD7,2)</f>
        <v>0</v>
      </c>
      <c r="AR124" t="str">
        <f>ROUND(164.26*(1+AD6)*(1+AD5)+AD7,2)</f>
        <v>0</v>
      </c>
      <c r="AS124" t="str">
        <f>ROUND(174.31*(1+AD6)*(1+AD5)+AD7,2)</f>
        <v>0</v>
      </c>
      <c r="AT124" t="str">
        <f>ROUND(184.31*(1+AD6)*(1+AD5)+AD7,2)</f>
        <v>0</v>
      </c>
      <c r="AU124" t="str">
        <f>ROUND(194.25*(1+AD6)*(1+AD5)+AD7,2)</f>
        <v>0</v>
      </c>
      <c r="AV124" t="str">
        <f>ROUND(204.85*(1+AD6)*(1+AD5)+AD7,2)</f>
        <v>0</v>
      </c>
      <c r="AW124" t="str">
        <f>ROUND(216.53*(1+AD6)*(1+AD5)+AD7,2)</f>
        <v>0</v>
      </c>
      <c r="AX124" t="str">
        <f>ROUND(226.33*(1+AD6)*(1+AD5)+AD7,2)</f>
        <v>0</v>
      </c>
      <c r="AY124" t="str">
        <f>ROUND(236.52*(1+AD6)*(1+AD5)+AD7,2)</f>
        <v>0</v>
      </c>
      <c r="AZ124" t="str">
        <f>ROUND(246.4*(1+AD6)*(1+AD5)+AD7,2)</f>
        <v>0</v>
      </c>
      <c r="BA124" t="str">
        <f>ROUND(256.46*(1+AD6)*(1+AD5)+AD7,2)</f>
        <v>0</v>
      </c>
      <c r="BB124" t="str">
        <f>ROUND(268.83*(1+AD6)*(1+AD5)+AD7,2)</f>
        <v>0</v>
      </c>
      <c r="BC124" t="str">
        <f>ROUND(281.43*(1+AD6)*(1+AD5)+AD7,2)</f>
        <v>0</v>
      </c>
      <c r="BD124" t="str">
        <f>ROUND(293.31*(1+AD6)*(1+AD5)+AD7,2)</f>
        <v>0</v>
      </c>
      <c r="BE124" t="str">
        <f>ROUND(303.18*(1+AD6)*(1+AD5)+AD7,2)</f>
        <v>0</v>
      </c>
      <c r="BF124" t="str">
        <f>ROUND(312.8*(1+AD6)*(1+AD5)+AD7,2)</f>
        <v>0</v>
      </c>
    </row>
    <row r="125" spans="1:58">
      <c r="B125" s="10"/>
      <c r="C125" s="8">
        <v>1600</v>
      </c>
      <c r="D125">
        <v>82.59</v>
      </c>
      <c r="E125">
        <v>92.61</v>
      </c>
      <c r="F125">
        <v>102.53</v>
      </c>
      <c r="G125">
        <v>112.58</v>
      </c>
      <c r="H125">
        <v>123.39</v>
      </c>
      <c r="I125">
        <v>134.23</v>
      </c>
      <c r="J125">
        <v>145.13</v>
      </c>
      <c r="K125">
        <v>155.36</v>
      </c>
      <c r="L125">
        <v>166.64</v>
      </c>
      <c r="M125">
        <v>176.85</v>
      </c>
      <c r="N125">
        <v>187.11</v>
      </c>
      <c r="O125">
        <v>197.28</v>
      </c>
      <c r="P125">
        <v>208.05</v>
      </c>
      <c r="Q125">
        <v>219.99</v>
      </c>
      <c r="R125">
        <v>229.92</v>
      </c>
      <c r="S125">
        <v>240.36</v>
      </c>
      <c r="T125">
        <v>250.43</v>
      </c>
      <c r="U125">
        <v>260.72</v>
      </c>
      <c r="V125">
        <v>273.26</v>
      </c>
      <c r="W125">
        <v>286.1</v>
      </c>
      <c r="X125">
        <v>298.16</v>
      </c>
      <c r="Y125">
        <v>308.23</v>
      </c>
      <c r="Z125">
        <v>318.01</v>
      </c>
      <c r="AA125"/>
      <c r="AG125" s="9"/>
      <c r="AH125" s="10"/>
      <c r="AI125" s="8">
        <v>1600</v>
      </c>
      <c r="AJ125" t="str">
        <f>ROUND(82.59*(1+AD6)*(1+AD5)+AD7,2)</f>
        <v>0</v>
      </c>
      <c r="AK125" t="str">
        <f>ROUND(92.61*(1+AD6)*(1+AD5)+AD7,2)</f>
        <v>0</v>
      </c>
      <c r="AL125" t="str">
        <f>ROUND(102.53*(1+AD6)*(1+AD5)+AD7,2)</f>
        <v>0</v>
      </c>
      <c r="AM125" t="str">
        <f>ROUND(112.58*(1+AD6)*(1+AD5)+AD7,2)</f>
        <v>0</v>
      </c>
      <c r="AN125" t="str">
        <f>ROUND(123.39*(1+AD6)*(1+AD5)+AD7,2)</f>
        <v>0</v>
      </c>
      <c r="AO125" t="str">
        <f>ROUND(134.23*(1+AD6)*(1+AD5)+AD7,2)</f>
        <v>0</v>
      </c>
      <c r="AP125" t="str">
        <f>ROUND(145.13*(1+AD6)*(1+AD5)+AD7,2)</f>
        <v>0</v>
      </c>
      <c r="AQ125" t="str">
        <f>ROUND(155.36*(1+AD6)*(1+AD5)+AD7,2)</f>
        <v>0</v>
      </c>
      <c r="AR125" t="str">
        <f>ROUND(166.64*(1+AD6)*(1+AD5)+AD7,2)</f>
        <v>0</v>
      </c>
      <c r="AS125" t="str">
        <f>ROUND(176.85*(1+AD6)*(1+AD5)+AD7,2)</f>
        <v>0</v>
      </c>
      <c r="AT125" t="str">
        <f>ROUND(187.11*(1+AD6)*(1+AD5)+AD7,2)</f>
        <v>0</v>
      </c>
      <c r="AU125" t="str">
        <f>ROUND(197.28*(1+AD6)*(1+AD5)+AD7,2)</f>
        <v>0</v>
      </c>
      <c r="AV125" t="str">
        <f>ROUND(208.05*(1+AD6)*(1+AD5)+AD7,2)</f>
        <v>0</v>
      </c>
      <c r="AW125" t="str">
        <f>ROUND(219.99*(1+AD6)*(1+AD5)+AD7,2)</f>
        <v>0</v>
      </c>
      <c r="AX125" t="str">
        <f>ROUND(229.92*(1+AD6)*(1+AD5)+AD7,2)</f>
        <v>0</v>
      </c>
      <c r="AY125" t="str">
        <f>ROUND(240.36*(1+AD6)*(1+AD5)+AD7,2)</f>
        <v>0</v>
      </c>
      <c r="AZ125" t="str">
        <f>ROUND(250.43*(1+AD6)*(1+AD5)+AD7,2)</f>
        <v>0</v>
      </c>
      <c r="BA125" t="str">
        <f>ROUND(260.72*(1+AD6)*(1+AD5)+AD7,2)</f>
        <v>0</v>
      </c>
      <c r="BB125" t="str">
        <f>ROUND(273.26*(1+AD6)*(1+AD5)+AD7,2)</f>
        <v>0</v>
      </c>
      <c r="BC125" t="str">
        <f>ROUND(286.1*(1+AD6)*(1+AD5)+AD7,2)</f>
        <v>0</v>
      </c>
      <c r="BD125" t="str">
        <f>ROUND(298.16*(1+AD6)*(1+AD5)+AD7,2)</f>
        <v>0</v>
      </c>
      <c r="BE125" t="str">
        <f>ROUND(308.23*(1+AD6)*(1+AD5)+AD7,2)</f>
        <v>0</v>
      </c>
      <c r="BF125" t="str">
        <f>ROUND(318.01*(1+AD6)*(1+AD5)+AD7,2)</f>
        <v>0</v>
      </c>
    </row>
    <row r="126" spans="1:58">
      <c r="B126" s="10"/>
      <c r="C126" s="8">
        <v>1700</v>
      </c>
      <c r="D126">
        <v>83.33</v>
      </c>
      <c r="E126">
        <v>93.52</v>
      </c>
      <c r="F126">
        <v>103.69</v>
      </c>
      <c r="G126">
        <v>113.94</v>
      </c>
      <c r="H126">
        <v>124.96</v>
      </c>
      <c r="I126">
        <v>135.97</v>
      </c>
      <c r="J126">
        <v>147.08</v>
      </c>
      <c r="K126">
        <v>157.55</v>
      </c>
      <c r="L126">
        <v>169.06</v>
      </c>
      <c r="M126">
        <v>179.47</v>
      </c>
      <c r="N126">
        <v>189.89</v>
      </c>
      <c r="O126">
        <v>200.27</v>
      </c>
      <c r="P126">
        <v>211.28</v>
      </c>
      <c r="Q126">
        <v>223.39</v>
      </c>
      <c r="R126">
        <v>233.56</v>
      </c>
      <c r="S126">
        <v>244.19</v>
      </c>
      <c r="T126">
        <v>254.49</v>
      </c>
      <c r="U126">
        <v>264.95</v>
      </c>
      <c r="V126">
        <v>277.71</v>
      </c>
      <c r="W126">
        <v>290.75</v>
      </c>
      <c r="X126">
        <v>303.02</v>
      </c>
      <c r="Y126">
        <v>313.31</v>
      </c>
      <c r="Z126">
        <v>323.25</v>
      </c>
      <c r="AA126"/>
      <c r="AG126" s="9"/>
      <c r="AH126" s="10"/>
      <c r="AI126" s="8">
        <v>1700</v>
      </c>
      <c r="AJ126" t="str">
        <f>ROUND(83.33*(1+AD6)*(1+AD5)+AD7,2)</f>
        <v>0</v>
      </c>
      <c r="AK126" t="str">
        <f>ROUND(93.52*(1+AD6)*(1+AD5)+AD7,2)</f>
        <v>0</v>
      </c>
      <c r="AL126" t="str">
        <f>ROUND(103.69*(1+AD6)*(1+AD5)+AD7,2)</f>
        <v>0</v>
      </c>
      <c r="AM126" t="str">
        <f>ROUND(113.94*(1+AD6)*(1+AD5)+AD7,2)</f>
        <v>0</v>
      </c>
      <c r="AN126" t="str">
        <f>ROUND(124.96*(1+AD6)*(1+AD5)+AD7,2)</f>
        <v>0</v>
      </c>
      <c r="AO126" t="str">
        <f>ROUND(135.97*(1+AD6)*(1+AD5)+AD7,2)</f>
        <v>0</v>
      </c>
      <c r="AP126" t="str">
        <f>ROUND(147.08*(1+AD6)*(1+AD5)+AD7,2)</f>
        <v>0</v>
      </c>
      <c r="AQ126" t="str">
        <f>ROUND(157.55*(1+AD6)*(1+AD5)+AD7,2)</f>
        <v>0</v>
      </c>
      <c r="AR126" t="str">
        <f>ROUND(169.06*(1+AD6)*(1+AD5)+AD7,2)</f>
        <v>0</v>
      </c>
      <c r="AS126" t="str">
        <f>ROUND(179.47*(1+AD6)*(1+AD5)+AD7,2)</f>
        <v>0</v>
      </c>
      <c r="AT126" t="str">
        <f>ROUND(189.89*(1+AD6)*(1+AD5)+AD7,2)</f>
        <v>0</v>
      </c>
      <c r="AU126" t="str">
        <f>ROUND(200.27*(1+AD6)*(1+AD5)+AD7,2)</f>
        <v>0</v>
      </c>
      <c r="AV126" t="str">
        <f>ROUND(211.28*(1+AD6)*(1+AD5)+AD7,2)</f>
        <v>0</v>
      </c>
      <c r="AW126" t="str">
        <f>ROUND(223.39*(1+AD6)*(1+AD5)+AD7,2)</f>
        <v>0</v>
      </c>
      <c r="AX126" t="str">
        <f>ROUND(233.56*(1+AD6)*(1+AD5)+AD7,2)</f>
        <v>0</v>
      </c>
      <c r="AY126" t="str">
        <f>ROUND(244.19*(1+AD6)*(1+AD5)+AD7,2)</f>
        <v>0</v>
      </c>
      <c r="AZ126" t="str">
        <f>ROUND(254.49*(1+AD6)*(1+AD5)+AD7,2)</f>
        <v>0</v>
      </c>
      <c r="BA126" t="str">
        <f>ROUND(264.95*(1+AD6)*(1+AD5)+AD7,2)</f>
        <v>0</v>
      </c>
      <c r="BB126" t="str">
        <f>ROUND(277.71*(1+AD6)*(1+AD5)+AD7,2)</f>
        <v>0</v>
      </c>
      <c r="BC126" t="str">
        <f>ROUND(290.75*(1+AD6)*(1+AD5)+AD7,2)</f>
        <v>0</v>
      </c>
      <c r="BD126" t="str">
        <f>ROUND(303.02*(1+AD6)*(1+AD5)+AD7,2)</f>
        <v>0</v>
      </c>
      <c r="BE126" t="str">
        <f>ROUND(313.31*(1+AD6)*(1+AD5)+AD7,2)</f>
        <v>0</v>
      </c>
      <c r="BF126" t="str">
        <f>ROUND(323.25*(1+AD6)*(1+AD5)+AD7,2)</f>
        <v>0</v>
      </c>
    </row>
    <row r="127" spans="1:58">
      <c r="B127" s="10"/>
      <c r="C127" s="8">
        <v>1800</v>
      </c>
      <c r="D127">
        <v>84.04</v>
      </c>
      <c r="E127">
        <v>94.45</v>
      </c>
      <c r="F127">
        <v>104.85</v>
      </c>
      <c r="G127">
        <v>115.32</v>
      </c>
      <c r="H127">
        <v>126.5</v>
      </c>
      <c r="I127">
        <v>137.75</v>
      </c>
      <c r="J127">
        <v>149.05</v>
      </c>
      <c r="K127">
        <v>159.75</v>
      </c>
      <c r="L127">
        <v>171.42</v>
      </c>
      <c r="M127">
        <v>182.07</v>
      </c>
      <c r="N127">
        <v>192.69</v>
      </c>
      <c r="O127">
        <v>203.29</v>
      </c>
      <c r="P127">
        <v>214.44</v>
      </c>
      <c r="Q127">
        <v>226.8</v>
      </c>
      <c r="R127">
        <v>237.21</v>
      </c>
      <c r="S127">
        <v>247.98</v>
      </c>
      <c r="T127">
        <v>258.49</v>
      </c>
      <c r="U127">
        <v>269.22</v>
      </c>
      <c r="V127">
        <v>282.15</v>
      </c>
      <c r="W127">
        <v>295.39</v>
      </c>
      <c r="X127">
        <v>307.88</v>
      </c>
      <c r="Y127">
        <v>318.37</v>
      </c>
      <c r="Z127">
        <v>328.46</v>
      </c>
      <c r="AA127"/>
      <c r="AG127" s="9"/>
      <c r="AH127" s="10"/>
      <c r="AI127" s="8">
        <v>1800</v>
      </c>
      <c r="AJ127" t="str">
        <f>ROUND(84.04*(1+AD6)*(1+AD5)+AD7,2)</f>
        <v>0</v>
      </c>
      <c r="AK127" t="str">
        <f>ROUND(94.45*(1+AD6)*(1+AD5)+AD7,2)</f>
        <v>0</v>
      </c>
      <c r="AL127" t="str">
        <f>ROUND(104.85*(1+AD6)*(1+AD5)+AD7,2)</f>
        <v>0</v>
      </c>
      <c r="AM127" t="str">
        <f>ROUND(115.32*(1+AD6)*(1+AD5)+AD7,2)</f>
        <v>0</v>
      </c>
      <c r="AN127" t="str">
        <f>ROUND(126.5*(1+AD6)*(1+AD5)+AD7,2)</f>
        <v>0</v>
      </c>
      <c r="AO127" t="str">
        <f>ROUND(137.75*(1+AD6)*(1+AD5)+AD7,2)</f>
        <v>0</v>
      </c>
      <c r="AP127" t="str">
        <f>ROUND(149.05*(1+AD6)*(1+AD5)+AD7,2)</f>
        <v>0</v>
      </c>
      <c r="AQ127" t="str">
        <f>ROUND(159.75*(1+AD6)*(1+AD5)+AD7,2)</f>
        <v>0</v>
      </c>
      <c r="AR127" t="str">
        <f>ROUND(171.42*(1+AD6)*(1+AD5)+AD7,2)</f>
        <v>0</v>
      </c>
      <c r="AS127" t="str">
        <f>ROUND(182.07*(1+AD6)*(1+AD5)+AD7,2)</f>
        <v>0</v>
      </c>
      <c r="AT127" t="str">
        <f>ROUND(192.69*(1+AD6)*(1+AD5)+AD7,2)</f>
        <v>0</v>
      </c>
      <c r="AU127" t="str">
        <f>ROUND(203.29*(1+AD6)*(1+AD5)+AD7,2)</f>
        <v>0</v>
      </c>
      <c r="AV127" t="str">
        <f>ROUND(214.44*(1+AD6)*(1+AD5)+AD7,2)</f>
        <v>0</v>
      </c>
      <c r="AW127" t="str">
        <f>ROUND(226.8*(1+AD6)*(1+AD5)+AD7,2)</f>
        <v>0</v>
      </c>
      <c r="AX127" t="str">
        <f>ROUND(237.21*(1+AD6)*(1+AD5)+AD7,2)</f>
        <v>0</v>
      </c>
      <c r="AY127" t="str">
        <f>ROUND(247.98*(1+AD6)*(1+AD5)+AD7,2)</f>
        <v>0</v>
      </c>
      <c r="AZ127" t="str">
        <f>ROUND(258.49*(1+AD6)*(1+AD5)+AD7,2)</f>
        <v>0</v>
      </c>
      <c r="BA127" t="str">
        <f>ROUND(269.22*(1+AD6)*(1+AD5)+AD7,2)</f>
        <v>0</v>
      </c>
      <c r="BB127" t="str">
        <f>ROUND(282.15*(1+AD6)*(1+AD5)+AD7,2)</f>
        <v>0</v>
      </c>
      <c r="BC127" t="str">
        <f>ROUND(295.39*(1+AD6)*(1+AD5)+AD7,2)</f>
        <v>0</v>
      </c>
      <c r="BD127" t="str">
        <f>ROUND(307.88*(1+AD6)*(1+AD5)+AD7,2)</f>
        <v>0</v>
      </c>
      <c r="BE127" t="str">
        <f>ROUND(318.37*(1+AD6)*(1+AD5)+AD7,2)</f>
        <v>0</v>
      </c>
      <c r="BF127" t="str">
        <f>ROUND(328.46*(1+AD6)*(1+AD5)+AD7,2)</f>
        <v>0</v>
      </c>
    </row>
    <row r="128" spans="1:58">
      <c r="B128" s="10"/>
      <c r="C128" s="8">
        <v>1900</v>
      </c>
      <c r="D128">
        <v>84.79</v>
      </c>
      <c r="E128">
        <v>95.4</v>
      </c>
      <c r="F128">
        <v>105.97</v>
      </c>
      <c r="G128">
        <v>116.64</v>
      </c>
      <c r="H128">
        <v>128.08</v>
      </c>
      <c r="I128">
        <v>139.52</v>
      </c>
      <c r="J128">
        <v>151</v>
      </c>
      <c r="K128">
        <v>161.86</v>
      </c>
      <c r="L128">
        <v>173.8</v>
      </c>
      <c r="M128">
        <v>184.63</v>
      </c>
      <c r="N128">
        <v>195.47</v>
      </c>
      <c r="O128">
        <v>206.28</v>
      </c>
      <c r="P128">
        <v>217.66</v>
      </c>
      <c r="Q128">
        <v>230.19</v>
      </c>
      <c r="R128">
        <v>240.8</v>
      </c>
      <c r="S128">
        <v>251.82</v>
      </c>
      <c r="T128">
        <v>262.56</v>
      </c>
      <c r="U128">
        <v>273.4</v>
      </c>
      <c r="V128">
        <v>286.61</v>
      </c>
      <c r="W128">
        <v>300.09</v>
      </c>
      <c r="X128">
        <v>312.75</v>
      </c>
      <c r="Y128">
        <v>323.45</v>
      </c>
      <c r="Z128">
        <v>333.7</v>
      </c>
      <c r="AA128"/>
      <c r="AG128" s="9"/>
      <c r="AH128" s="10"/>
      <c r="AI128" s="8">
        <v>1900</v>
      </c>
      <c r="AJ128" t="str">
        <f>ROUND(84.79*(1+AD6)*(1+AD5)+AD7,2)</f>
        <v>0</v>
      </c>
      <c r="AK128" t="str">
        <f>ROUND(95.4*(1+AD6)*(1+AD5)+AD7,2)</f>
        <v>0</v>
      </c>
      <c r="AL128" t="str">
        <f>ROUND(105.97*(1+AD6)*(1+AD5)+AD7,2)</f>
        <v>0</v>
      </c>
      <c r="AM128" t="str">
        <f>ROUND(116.64*(1+AD6)*(1+AD5)+AD7,2)</f>
        <v>0</v>
      </c>
      <c r="AN128" t="str">
        <f>ROUND(128.08*(1+AD6)*(1+AD5)+AD7,2)</f>
        <v>0</v>
      </c>
      <c r="AO128" t="str">
        <f>ROUND(139.52*(1+AD6)*(1+AD5)+AD7,2)</f>
        <v>0</v>
      </c>
      <c r="AP128" t="str">
        <f>ROUND(151*(1+AD6)*(1+AD5)+AD7,2)</f>
        <v>0</v>
      </c>
      <c r="AQ128" t="str">
        <f>ROUND(161.86*(1+AD6)*(1+AD5)+AD7,2)</f>
        <v>0</v>
      </c>
      <c r="AR128" t="str">
        <f>ROUND(173.8*(1+AD6)*(1+AD5)+AD7,2)</f>
        <v>0</v>
      </c>
      <c r="AS128" t="str">
        <f>ROUND(184.63*(1+AD6)*(1+AD5)+AD7,2)</f>
        <v>0</v>
      </c>
      <c r="AT128" t="str">
        <f>ROUND(195.47*(1+AD6)*(1+AD5)+AD7,2)</f>
        <v>0</v>
      </c>
      <c r="AU128" t="str">
        <f>ROUND(206.28*(1+AD6)*(1+AD5)+AD7,2)</f>
        <v>0</v>
      </c>
      <c r="AV128" t="str">
        <f>ROUND(217.66*(1+AD6)*(1+AD5)+AD7,2)</f>
        <v>0</v>
      </c>
      <c r="AW128" t="str">
        <f>ROUND(230.19*(1+AD6)*(1+AD5)+AD7,2)</f>
        <v>0</v>
      </c>
      <c r="AX128" t="str">
        <f>ROUND(240.8*(1+AD6)*(1+AD5)+AD7,2)</f>
        <v>0</v>
      </c>
      <c r="AY128" t="str">
        <f>ROUND(251.82*(1+AD6)*(1+AD5)+AD7,2)</f>
        <v>0</v>
      </c>
      <c r="AZ128" t="str">
        <f>ROUND(262.56*(1+AD6)*(1+AD5)+AD7,2)</f>
        <v>0</v>
      </c>
      <c r="BA128" t="str">
        <f>ROUND(273.4*(1+AD6)*(1+AD5)+AD7,2)</f>
        <v>0</v>
      </c>
      <c r="BB128" t="str">
        <f>ROUND(286.61*(1+AD6)*(1+AD5)+AD7,2)</f>
        <v>0</v>
      </c>
      <c r="BC128" t="str">
        <f>ROUND(300.09*(1+AD6)*(1+AD5)+AD7,2)</f>
        <v>0</v>
      </c>
      <c r="BD128" t="str">
        <f>ROUND(312.75*(1+AD6)*(1+AD5)+AD7,2)</f>
        <v>0</v>
      </c>
      <c r="BE128" t="str">
        <f>ROUND(323.45*(1+AD6)*(1+AD5)+AD7,2)</f>
        <v>0</v>
      </c>
      <c r="BF128" t="str">
        <f>ROUND(333.7*(1+AD6)*(1+AD5)+AD7,2)</f>
        <v>0</v>
      </c>
    </row>
    <row r="129" spans="1:58">
      <c r="B129" s="10"/>
      <c r="C129" s="8">
        <v>2000</v>
      </c>
      <c r="D129">
        <v>85.51</v>
      </c>
      <c r="E129">
        <v>96.3</v>
      </c>
      <c r="F129">
        <v>107.12</v>
      </c>
      <c r="G129">
        <v>117.98</v>
      </c>
      <c r="H129">
        <v>129.66</v>
      </c>
      <c r="I129">
        <v>141.28</v>
      </c>
      <c r="J129">
        <v>152.96</v>
      </c>
      <c r="K129">
        <v>164.09</v>
      </c>
      <c r="L129">
        <v>176.17</v>
      </c>
      <c r="M129">
        <v>187.24</v>
      </c>
      <c r="N129">
        <v>198.28</v>
      </c>
      <c r="O129">
        <v>209.29</v>
      </c>
      <c r="P129">
        <v>220.89</v>
      </c>
      <c r="Q129">
        <v>233.66</v>
      </c>
      <c r="R129">
        <v>244.43</v>
      </c>
      <c r="S129">
        <v>255.65</v>
      </c>
      <c r="T129">
        <v>266.56</v>
      </c>
      <c r="U129">
        <v>277.68</v>
      </c>
      <c r="V129">
        <v>291.06</v>
      </c>
      <c r="W129">
        <v>304.71</v>
      </c>
      <c r="X129">
        <v>317.6</v>
      </c>
      <c r="Y129">
        <v>328.51</v>
      </c>
      <c r="Z129">
        <v>338.91</v>
      </c>
      <c r="AA129"/>
      <c r="AG129" s="9"/>
      <c r="AH129" s="10"/>
      <c r="AI129" s="8">
        <v>2000</v>
      </c>
      <c r="AJ129" t="str">
        <f>ROUND(85.51*(1+AD6)*(1+AD5)+AD7,2)</f>
        <v>0</v>
      </c>
      <c r="AK129" t="str">
        <f>ROUND(96.3*(1+AD6)*(1+AD5)+AD7,2)</f>
        <v>0</v>
      </c>
      <c r="AL129" t="str">
        <f>ROUND(107.12*(1+AD6)*(1+AD5)+AD7,2)</f>
        <v>0</v>
      </c>
      <c r="AM129" t="str">
        <f>ROUND(117.98*(1+AD6)*(1+AD5)+AD7,2)</f>
        <v>0</v>
      </c>
      <c r="AN129" t="str">
        <f>ROUND(129.66*(1+AD6)*(1+AD5)+AD7,2)</f>
        <v>0</v>
      </c>
      <c r="AO129" t="str">
        <f>ROUND(141.28*(1+AD6)*(1+AD5)+AD7,2)</f>
        <v>0</v>
      </c>
      <c r="AP129" t="str">
        <f>ROUND(152.96*(1+AD6)*(1+AD5)+AD7,2)</f>
        <v>0</v>
      </c>
      <c r="AQ129" t="str">
        <f>ROUND(164.09*(1+AD6)*(1+AD5)+AD7,2)</f>
        <v>0</v>
      </c>
      <c r="AR129" t="str">
        <f>ROUND(176.17*(1+AD6)*(1+AD5)+AD7,2)</f>
        <v>0</v>
      </c>
      <c r="AS129" t="str">
        <f>ROUND(187.24*(1+AD6)*(1+AD5)+AD7,2)</f>
        <v>0</v>
      </c>
      <c r="AT129" t="str">
        <f>ROUND(198.28*(1+AD6)*(1+AD5)+AD7,2)</f>
        <v>0</v>
      </c>
      <c r="AU129" t="str">
        <f>ROUND(209.29*(1+AD6)*(1+AD5)+AD7,2)</f>
        <v>0</v>
      </c>
      <c r="AV129" t="str">
        <f>ROUND(220.89*(1+AD6)*(1+AD5)+AD7,2)</f>
        <v>0</v>
      </c>
      <c r="AW129" t="str">
        <f>ROUND(233.66*(1+AD6)*(1+AD5)+AD7,2)</f>
        <v>0</v>
      </c>
      <c r="AX129" t="str">
        <f>ROUND(244.43*(1+AD6)*(1+AD5)+AD7,2)</f>
        <v>0</v>
      </c>
      <c r="AY129" t="str">
        <f>ROUND(255.65*(1+AD6)*(1+AD5)+AD7,2)</f>
        <v>0</v>
      </c>
      <c r="AZ129" t="str">
        <f>ROUND(266.56*(1+AD6)*(1+AD5)+AD7,2)</f>
        <v>0</v>
      </c>
      <c r="BA129" t="str">
        <f>ROUND(277.68*(1+AD6)*(1+AD5)+AD7,2)</f>
        <v>0</v>
      </c>
      <c r="BB129" t="str">
        <f>ROUND(291.06*(1+AD6)*(1+AD5)+AD7,2)</f>
        <v>0</v>
      </c>
      <c r="BC129" t="str">
        <f>ROUND(304.71*(1+AD6)*(1+AD5)+AD7,2)</f>
        <v>0</v>
      </c>
      <c r="BD129" t="str">
        <f>ROUND(317.6*(1+AD6)*(1+AD5)+AD7,2)</f>
        <v>0</v>
      </c>
      <c r="BE129" t="str">
        <f>ROUND(328.51*(1+AD6)*(1+AD5)+AD7,2)</f>
        <v>0</v>
      </c>
      <c r="BF129" t="str">
        <f>ROUND(338.91*(1+AD6)*(1+AD5)+AD7,2)</f>
        <v>0</v>
      </c>
    </row>
    <row r="130" spans="1:58">
      <c r="B130" s="10"/>
      <c r="C130" s="8">
        <v>2100</v>
      </c>
      <c r="D130">
        <v>86.22</v>
      </c>
      <c r="E130">
        <v>97.27</v>
      </c>
      <c r="F130">
        <v>108.28</v>
      </c>
      <c r="G130">
        <v>119.34</v>
      </c>
      <c r="H130">
        <v>131.18</v>
      </c>
      <c r="I130">
        <v>143.01</v>
      </c>
      <c r="J130">
        <v>154.96</v>
      </c>
      <c r="K130">
        <v>166.29</v>
      </c>
      <c r="L130">
        <v>178.57</v>
      </c>
      <c r="M130">
        <v>189.78</v>
      </c>
      <c r="N130">
        <v>201.06</v>
      </c>
      <c r="O130">
        <v>212.29</v>
      </c>
      <c r="P130">
        <v>224.07</v>
      </c>
      <c r="Q130">
        <v>237.07</v>
      </c>
      <c r="R130">
        <v>248.11</v>
      </c>
      <c r="S130">
        <v>259.48</v>
      </c>
      <c r="T130">
        <v>270.59</v>
      </c>
      <c r="U130">
        <v>281.91</v>
      </c>
      <c r="V130">
        <v>295.49</v>
      </c>
      <c r="W130">
        <v>309.37</v>
      </c>
      <c r="X130">
        <v>322.47</v>
      </c>
      <c r="Y130">
        <v>333.6</v>
      </c>
      <c r="Z130">
        <v>344.15</v>
      </c>
      <c r="AA130"/>
      <c r="AG130" s="9"/>
      <c r="AH130" s="10"/>
      <c r="AI130" s="8">
        <v>2100</v>
      </c>
      <c r="AJ130" t="str">
        <f>ROUND(86.22*(1+AD6)*(1+AD5)+AD7,2)</f>
        <v>0</v>
      </c>
      <c r="AK130" t="str">
        <f>ROUND(97.27*(1+AD6)*(1+AD5)+AD7,2)</f>
        <v>0</v>
      </c>
      <c r="AL130" t="str">
        <f>ROUND(108.28*(1+AD6)*(1+AD5)+AD7,2)</f>
        <v>0</v>
      </c>
      <c r="AM130" t="str">
        <f>ROUND(119.34*(1+AD6)*(1+AD5)+AD7,2)</f>
        <v>0</v>
      </c>
      <c r="AN130" t="str">
        <f>ROUND(131.18*(1+AD6)*(1+AD5)+AD7,2)</f>
        <v>0</v>
      </c>
      <c r="AO130" t="str">
        <f>ROUND(143.01*(1+AD6)*(1+AD5)+AD7,2)</f>
        <v>0</v>
      </c>
      <c r="AP130" t="str">
        <f>ROUND(154.96*(1+AD6)*(1+AD5)+AD7,2)</f>
        <v>0</v>
      </c>
      <c r="AQ130" t="str">
        <f>ROUND(166.29*(1+AD6)*(1+AD5)+AD7,2)</f>
        <v>0</v>
      </c>
      <c r="AR130" t="str">
        <f>ROUND(178.57*(1+AD6)*(1+AD5)+AD7,2)</f>
        <v>0</v>
      </c>
      <c r="AS130" t="str">
        <f>ROUND(189.78*(1+AD6)*(1+AD5)+AD7,2)</f>
        <v>0</v>
      </c>
      <c r="AT130" t="str">
        <f>ROUND(201.06*(1+AD6)*(1+AD5)+AD7,2)</f>
        <v>0</v>
      </c>
      <c r="AU130" t="str">
        <f>ROUND(212.29*(1+AD6)*(1+AD5)+AD7,2)</f>
        <v>0</v>
      </c>
      <c r="AV130" t="str">
        <f>ROUND(224.07*(1+AD6)*(1+AD5)+AD7,2)</f>
        <v>0</v>
      </c>
      <c r="AW130" t="str">
        <f>ROUND(237.07*(1+AD6)*(1+AD5)+AD7,2)</f>
        <v>0</v>
      </c>
      <c r="AX130" t="str">
        <f>ROUND(248.11*(1+AD6)*(1+AD5)+AD7,2)</f>
        <v>0</v>
      </c>
      <c r="AY130" t="str">
        <f>ROUND(259.48*(1+AD6)*(1+AD5)+AD7,2)</f>
        <v>0</v>
      </c>
      <c r="AZ130" t="str">
        <f>ROUND(270.59*(1+AD6)*(1+AD5)+AD7,2)</f>
        <v>0</v>
      </c>
      <c r="BA130" t="str">
        <f>ROUND(281.91*(1+AD6)*(1+AD5)+AD7,2)</f>
        <v>0</v>
      </c>
      <c r="BB130" t="str">
        <f>ROUND(295.49*(1+AD6)*(1+AD5)+AD7,2)</f>
        <v>0</v>
      </c>
      <c r="BC130" t="str">
        <f>ROUND(309.37*(1+AD6)*(1+AD5)+AD7,2)</f>
        <v>0</v>
      </c>
      <c r="BD130" t="str">
        <f>ROUND(322.47*(1+AD6)*(1+AD5)+AD7,2)</f>
        <v>0</v>
      </c>
      <c r="BE130" t="str">
        <f>ROUND(333.6*(1+AD6)*(1+AD5)+AD7,2)</f>
        <v>0</v>
      </c>
      <c r="BF130" t="str">
        <f>ROUND(344.15*(1+AD6)*(1+AD5)+AD7,2)</f>
        <v>0</v>
      </c>
    </row>
    <row r="131" spans="1:58">
      <c r="B131" s="10"/>
      <c r="C131" s="8">
        <v>2200</v>
      </c>
      <c r="D131">
        <v>86.96</v>
      </c>
      <c r="E131">
        <v>98.2</v>
      </c>
      <c r="F131">
        <v>109.4</v>
      </c>
      <c r="G131">
        <v>120.71</v>
      </c>
      <c r="H131">
        <v>132.72</v>
      </c>
      <c r="I131">
        <v>144.79</v>
      </c>
      <c r="J131">
        <v>157.13</v>
      </c>
      <c r="K131">
        <v>168.43</v>
      </c>
      <c r="L131">
        <v>180.95</v>
      </c>
      <c r="M131">
        <v>192.41</v>
      </c>
      <c r="N131">
        <v>203.87</v>
      </c>
      <c r="O131">
        <v>215.27</v>
      </c>
      <c r="P131">
        <v>227.31</v>
      </c>
      <c r="Q131">
        <v>240.49</v>
      </c>
      <c r="R131">
        <v>251.67</v>
      </c>
      <c r="S131">
        <v>263.33</v>
      </c>
      <c r="T131">
        <v>274.63</v>
      </c>
      <c r="U131">
        <v>286.16</v>
      </c>
      <c r="V131">
        <v>299.94</v>
      </c>
      <c r="W131">
        <v>314.05</v>
      </c>
      <c r="X131">
        <v>327.33</v>
      </c>
      <c r="Y131">
        <v>338.65</v>
      </c>
      <c r="Z131">
        <v>349.36</v>
      </c>
      <c r="AA131"/>
      <c r="AG131" s="9"/>
      <c r="AH131" s="10"/>
      <c r="AI131" s="8">
        <v>2200</v>
      </c>
      <c r="AJ131" t="str">
        <f>ROUND(86.96*(1+AD6)*(1+AD5)+AD7,2)</f>
        <v>0</v>
      </c>
      <c r="AK131" t="str">
        <f>ROUND(98.2*(1+AD6)*(1+AD5)+AD7,2)</f>
        <v>0</v>
      </c>
      <c r="AL131" t="str">
        <f>ROUND(109.4*(1+AD6)*(1+AD5)+AD7,2)</f>
        <v>0</v>
      </c>
      <c r="AM131" t="str">
        <f>ROUND(120.71*(1+AD6)*(1+AD5)+AD7,2)</f>
        <v>0</v>
      </c>
      <c r="AN131" t="str">
        <f>ROUND(132.72*(1+AD6)*(1+AD5)+AD7,2)</f>
        <v>0</v>
      </c>
      <c r="AO131" t="str">
        <f>ROUND(144.79*(1+AD6)*(1+AD5)+AD7,2)</f>
        <v>0</v>
      </c>
      <c r="AP131" t="str">
        <f>ROUND(157.13*(1+AD6)*(1+AD5)+AD7,2)</f>
        <v>0</v>
      </c>
      <c r="AQ131" t="str">
        <f>ROUND(168.43*(1+AD6)*(1+AD5)+AD7,2)</f>
        <v>0</v>
      </c>
      <c r="AR131" t="str">
        <f>ROUND(180.95*(1+AD6)*(1+AD5)+AD7,2)</f>
        <v>0</v>
      </c>
      <c r="AS131" t="str">
        <f>ROUND(192.41*(1+AD6)*(1+AD5)+AD7,2)</f>
        <v>0</v>
      </c>
      <c r="AT131" t="str">
        <f>ROUND(203.87*(1+AD6)*(1+AD5)+AD7,2)</f>
        <v>0</v>
      </c>
      <c r="AU131" t="str">
        <f>ROUND(215.27*(1+AD6)*(1+AD5)+AD7,2)</f>
        <v>0</v>
      </c>
      <c r="AV131" t="str">
        <f>ROUND(227.31*(1+AD6)*(1+AD5)+AD7,2)</f>
        <v>0</v>
      </c>
      <c r="AW131" t="str">
        <f>ROUND(240.49*(1+AD6)*(1+AD5)+AD7,2)</f>
        <v>0</v>
      </c>
      <c r="AX131" t="str">
        <f>ROUND(251.67*(1+AD6)*(1+AD5)+AD7,2)</f>
        <v>0</v>
      </c>
      <c r="AY131" t="str">
        <f>ROUND(263.33*(1+AD6)*(1+AD5)+AD7,2)</f>
        <v>0</v>
      </c>
      <c r="AZ131" t="str">
        <f>ROUND(274.63*(1+AD6)*(1+AD5)+AD7,2)</f>
        <v>0</v>
      </c>
      <c r="BA131" t="str">
        <f>ROUND(286.16*(1+AD6)*(1+AD5)+AD7,2)</f>
        <v>0</v>
      </c>
      <c r="BB131" t="str">
        <f>ROUND(299.94*(1+AD6)*(1+AD5)+AD7,2)</f>
        <v>0</v>
      </c>
      <c r="BC131" t="str">
        <f>ROUND(314.05*(1+AD6)*(1+AD5)+AD7,2)</f>
        <v>0</v>
      </c>
      <c r="BD131" t="str">
        <f>ROUND(327.33*(1+AD6)*(1+AD5)+AD7,2)</f>
        <v>0</v>
      </c>
      <c r="BE131" t="str">
        <f>ROUND(338.65*(1+AD6)*(1+AD5)+AD7,2)</f>
        <v>0</v>
      </c>
      <c r="BF131" t="str">
        <f>ROUND(349.36*(1+AD6)*(1+AD5)+AD7,2)</f>
        <v>0</v>
      </c>
    </row>
    <row r="132" spans="1:58">
      <c r="B132" s="10"/>
      <c r="C132" s="8">
        <v>2300</v>
      </c>
      <c r="D132">
        <v>87.69</v>
      </c>
      <c r="E132">
        <v>99.16</v>
      </c>
      <c r="F132">
        <v>110.53</v>
      </c>
      <c r="G132">
        <v>122.04</v>
      </c>
      <c r="H132">
        <v>134.27</v>
      </c>
      <c r="I132">
        <v>146.56</v>
      </c>
      <c r="J132">
        <v>158.91</v>
      </c>
      <c r="K132">
        <v>170.61</v>
      </c>
      <c r="L132">
        <v>183.33</v>
      </c>
      <c r="M132">
        <v>195.01</v>
      </c>
      <c r="N132">
        <v>204.43</v>
      </c>
      <c r="O132">
        <v>218.27</v>
      </c>
      <c r="P132">
        <v>230.51</v>
      </c>
      <c r="Q132">
        <v>243.87</v>
      </c>
      <c r="R132">
        <v>255.31</v>
      </c>
      <c r="S132">
        <v>267.14</v>
      </c>
      <c r="T132">
        <v>278.66</v>
      </c>
      <c r="U132">
        <v>290.42</v>
      </c>
      <c r="V132">
        <v>304.41</v>
      </c>
      <c r="W132">
        <v>318.68</v>
      </c>
      <c r="X132">
        <v>332.18</v>
      </c>
      <c r="Y132">
        <v>343.69</v>
      </c>
      <c r="Z132">
        <v>354.54</v>
      </c>
      <c r="AA132"/>
      <c r="AG132" s="9"/>
      <c r="AH132" s="10"/>
      <c r="AI132" s="8">
        <v>2300</v>
      </c>
      <c r="AJ132" t="str">
        <f>ROUND(87.69*(1+AD6)*(1+AD5)+AD7,2)</f>
        <v>0</v>
      </c>
      <c r="AK132" t="str">
        <f>ROUND(99.16*(1+AD6)*(1+AD5)+AD7,2)</f>
        <v>0</v>
      </c>
      <c r="AL132" t="str">
        <f>ROUND(110.53*(1+AD6)*(1+AD5)+AD7,2)</f>
        <v>0</v>
      </c>
      <c r="AM132" t="str">
        <f>ROUND(122.04*(1+AD6)*(1+AD5)+AD7,2)</f>
        <v>0</v>
      </c>
      <c r="AN132" t="str">
        <f>ROUND(134.27*(1+AD6)*(1+AD5)+AD7,2)</f>
        <v>0</v>
      </c>
      <c r="AO132" t="str">
        <f>ROUND(146.56*(1+AD6)*(1+AD5)+AD7,2)</f>
        <v>0</v>
      </c>
      <c r="AP132" t="str">
        <f>ROUND(158.91*(1+AD6)*(1+AD5)+AD7,2)</f>
        <v>0</v>
      </c>
      <c r="AQ132" t="str">
        <f>ROUND(170.61*(1+AD6)*(1+AD5)+AD7,2)</f>
        <v>0</v>
      </c>
      <c r="AR132" t="str">
        <f>ROUND(183.33*(1+AD6)*(1+AD5)+AD7,2)</f>
        <v>0</v>
      </c>
      <c r="AS132" t="str">
        <f>ROUND(195.01*(1+AD6)*(1+AD5)+AD7,2)</f>
        <v>0</v>
      </c>
      <c r="AT132" t="str">
        <f>ROUND(204.43*(1+AD6)*(1+AD5)+AD7,2)</f>
        <v>0</v>
      </c>
      <c r="AU132" t="str">
        <f>ROUND(218.27*(1+AD6)*(1+AD5)+AD7,2)</f>
        <v>0</v>
      </c>
      <c r="AV132" t="str">
        <f>ROUND(230.51*(1+AD6)*(1+AD5)+AD7,2)</f>
        <v>0</v>
      </c>
      <c r="AW132" t="str">
        <f>ROUND(243.87*(1+AD6)*(1+AD5)+AD7,2)</f>
        <v>0</v>
      </c>
      <c r="AX132" t="str">
        <f>ROUND(255.31*(1+AD6)*(1+AD5)+AD7,2)</f>
        <v>0</v>
      </c>
      <c r="AY132" t="str">
        <f>ROUND(267.14*(1+AD6)*(1+AD5)+AD7,2)</f>
        <v>0</v>
      </c>
      <c r="AZ132" t="str">
        <f>ROUND(278.66*(1+AD6)*(1+AD5)+AD7,2)</f>
        <v>0</v>
      </c>
      <c r="BA132" t="str">
        <f>ROUND(290.42*(1+AD6)*(1+AD5)+AD7,2)</f>
        <v>0</v>
      </c>
      <c r="BB132" t="str">
        <f>ROUND(304.41*(1+AD6)*(1+AD5)+AD7,2)</f>
        <v>0</v>
      </c>
      <c r="BC132" t="str">
        <f>ROUND(318.68*(1+AD6)*(1+AD5)+AD7,2)</f>
        <v>0</v>
      </c>
      <c r="BD132" t="str">
        <f>ROUND(332.18*(1+AD6)*(1+AD5)+AD7,2)</f>
        <v>0</v>
      </c>
      <c r="BE132" t="str">
        <f>ROUND(343.69*(1+AD6)*(1+AD5)+AD7,2)</f>
        <v>0</v>
      </c>
      <c r="BF132" t="str">
        <f>ROUND(354.54*(1+AD6)*(1+AD5)+AD7,2)</f>
        <v>0</v>
      </c>
    </row>
    <row r="133" spans="1:58">
      <c r="B133" s="10"/>
      <c r="C133" s="8">
        <v>2400</v>
      </c>
      <c r="D133">
        <v>88.42</v>
      </c>
      <c r="E133">
        <v>100.06</v>
      </c>
      <c r="F133">
        <v>111.68</v>
      </c>
      <c r="G133">
        <v>123.39</v>
      </c>
      <c r="H133">
        <v>135.84</v>
      </c>
      <c r="I133">
        <v>148.31</v>
      </c>
      <c r="J133">
        <v>160.86</v>
      </c>
      <c r="K133">
        <v>172.79</v>
      </c>
      <c r="L133">
        <v>185.7</v>
      </c>
      <c r="M133">
        <v>197.56</v>
      </c>
      <c r="N133">
        <v>209.46</v>
      </c>
      <c r="O133">
        <v>221.28</v>
      </c>
      <c r="P133">
        <v>233.69</v>
      </c>
      <c r="Q133">
        <v>247.3</v>
      </c>
      <c r="R133">
        <v>258.95</v>
      </c>
      <c r="S133">
        <v>271</v>
      </c>
      <c r="T133">
        <v>282.7</v>
      </c>
      <c r="U133">
        <v>294.66</v>
      </c>
      <c r="V133">
        <v>308.85</v>
      </c>
      <c r="W133">
        <v>323.32</v>
      </c>
      <c r="X133">
        <v>337.04</v>
      </c>
      <c r="Y133">
        <v>348.79</v>
      </c>
      <c r="Z133">
        <v>359.8</v>
      </c>
      <c r="AA133"/>
      <c r="AG133" s="9"/>
      <c r="AH133" s="10"/>
      <c r="AI133" s="8">
        <v>2400</v>
      </c>
      <c r="AJ133" t="str">
        <f>ROUND(88.42*(1+AD6)*(1+AD5)+AD7,2)</f>
        <v>0</v>
      </c>
      <c r="AK133" t="str">
        <f>ROUND(100.06*(1+AD6)*(1+AD5)+AD7,2)</f>
        <v>0</v>
      </c>
      <c r="AL133" t="str">
        <f>ROUND(111.68*(1+AD6)*(1+AD5)+AD7,2)</f>
        <v>0</v>
      </c>
      <c r="AM133" t="str">
        <f>ROUND(123.39*(1+AD6)*(1+AD5)+AD7,2)</f>
        <v>0</v>
      </c>
      <c r="AN133" t="str">
        <f>ROUND(135.84*(1+AD6)*(1+AD5)+AD7,2)</f>
        <v>0</v>
      </c>
      <c r="AO133" t="str">
        <f>ROUND(148.31*(1+AD6)*(1+AD5)+AD7,2)</f>
        <v>0</v>
      </c>
      <c r="AP133" t="str">
        <f>ROUND(160.86*(1+AD6)*(1+AD5)+AD7,2)</f>
        <v>0</v>
      </c>
      <c r="AQ133" t="str">
        <f>ROUND(172.79*(1+AD6)*(1+AD5)+AD7,2)</f>
        <v>0</v>
      </c>
      <c r="AR133" t="str">
        <f>ROUND(185.7*(1+AD6)*(1+AD5)+AD7,2)</f>
        <v>0</v>
      </c>
      <c r="AS133" t="str">
        <f>ROUND(197.56*(1+AD6)*(1+AD5)+AD7,2)</f>
        <v>0</v>
      </c>
      <c r="AT133" t="str">
        <f>ROUND(209.46*(1+AD6)*(1+AD5)+AD7,2)</f>
        <v>0</v>
      </c>
      <c r="AU133" t="str">
        <f>ROUND(221.28*(1+AD6)*(1+AD5)+AD7,2)</f>
        <v>0</v>
      </c>
      <c r="AV133" t="str">
        <f>ROUND(233.69*(1+AD6)*(1+AD5)+AD7,2)</f>
        <v>0</v>
      </c>
      <c r="AW133" t="str">
        <f>ROUND(247.3*(1+AD6)*(1+AD5)+AD7,2)</f>
        <v>0</v>
      </c>
      <c r="AX133" t="str">
        <f>ROUND(258.95*(1+AD6)*(1+AD5)+AD7,2)</f>
        <v>0</v>
      </c>
      <c r="AY133" t="str">
        <f>ROUND(271*(1+AD6)*(1+AD5)+AD7,2)</f>
        <v>0</v>
      </c>
      <c r="AZ133" t="str">
        <f>ROUND(282.7*(1+AD6)*(1+AD5)+AD7,2)</f>
        <v>0</v>
      </c>
      <c r="BA133" t="str">
        <f>ROUND(294.66*(1+AD6)*(1+AD5)+AD7,2)</f>
        <v>0</v>
      </c>
      <c r="BB133" t="str">
        <f>ROUND(308.85*(1+AD6)*(1+AD5)+AD7,2)</f>
        <v>0</v>
      </c>
      <c r="BC133" t="str">
        <f>ROUND(323.32*(1+AD6)*(1+AD5)+AD7,2)</f>
        <v>0</v>
      </c>
      <c r="BD133" t="str">
        <f>ROUND(337.04*(1+AD6)*(1+AD5)+AD7,2)</f>
        <v>0</v>
      </c>
      <c r="BE133" t="str">
        <f>ROUND(348.79*(1+AD6)*(1+AD5)+AD7,2)</f>
        <v>0</v>
      </c>
      <c r="BF133" t="str">
        <f>ROUND(359.8*(1+AD6)*(1+AD5)+AD7,2)</f>
        <v>0</v>
      </c>
    </row>
    <row r="134" spans="1:58">
      <c r="B134" s="10"/>
      <c r="C134" s="8">
        <v>2500</v>
      </c>
      <c r="D134">
        <v>90.84</v>
      </c>
      <c r="E134">
        <v>102.82</v>
      </c>
      <c r="F134">
        <v>114.76</v>
      </c>
      <c r="G134">
        <v>126.81</v>
      </c>
      <c r="H134">
        <v>139.59</v>
      </c>
      <c r="I134">
        <v>152.41</v>
      </c>
      <c r="J134">
        <v>165.3</v>
      </c>
      <c r="K134">
        <v>177.56</v>
      </c>
      <c r="L134">
        <v>190.83</v>
      </c>
      <c r="M134">
        <v>203.03</v>
      </c>
      <c r="N134">
        <v>215.25</v>
      </c>
      <c r="O134">
        <v>227.44</v>
      </c>
      <c r="P134">
        <v>240.16</v>
      </c>
      <c r="Q134">
        <v>254.16</v>
      </c>
      <c r="R134">
        <v>266.15</v>
      </c>
      <c r="S134">
        <v>278.53</v>
      </c>
      <c r="T134">
        <v>290.57</v>
      </c>
      <c r="U134">
        <v>302.87</v>
      </c>
      <c r="V134">
        <v>317.43</v>
      </c>
      <c r="W134">
        <v>332.25</v>
      </c>
      <c r="X134">
        <v>346.29</v>
      </c>
      <c r="Y134">
        <v>358.37</v>
      </c>
      <c r="Z134">
        <v>369.67</v>
      </c>
      <c r="AA134"/>
      <c r="AG134" s="9"/>
      <c r="AH134" s="10"/>
      <c r="AI134" s="8">
        <v>2500</v>
      </c>
      <c r="AJ134" t="str">
        <f>ROUND(90.84*(1+AD6)*(1+AD5)+AD7,2)</f>
        <v>0</v>
      </c>
      <c r="AK134" t="str">
        <f>ROUND(102.82*(1+AD6)*(1+AD5)+AD7,2)</f>
        <v>0</v>
      </c>
      <c r="AL134" t="str">
        <f>ROUND(114.76*(1+AD6)*(1+AD5)+AD7,2)</f>
        <v>0</v>
      </c>
      <c r="AM134" t="str">
        <f>ROUND(126.81*(1+AD6)*(1+AD5)+AD7,2)</f>
        <v>0</v>
      </c>
      <c r="AN134" t="str">
        <f>ROUND(139.59*(1+AD6)*(1+AD5)+AD7,2)</f>
        <v>0</v>
      </c>
      <c r="AO134" t="str">
        <f>ROUND(152.41*(1+AD6)*(1+AD5)+AD7,2)</f>
        <v>0</v>
      </c>
      <c r="AP134" t="str">
        <f>ROUND(165.3*(1+AD6)*(1+AD5)+AD7,2)</f>
        <v>0</v>
      </c>
      <c r="AQ134" t="str">
        <f>ROUND(177.56*(1+AD6)*(1+AD5)+AD7,2)</f>
        <v>0</v>
      </c>
      <c r="AR134" t="str">
        <f>ROUND(190.83*(1+AD6)*(1+AD5)+AD7,2)</f>
        <v>0</v>
      </c>
      <c r="AS134" t="str">
        <f>ROUND(203.03*(1+AD6)*(1+AD5)+AD7,2)</f>
        <v>0</v>
      </c>
      <c r="AT134" t="str">
        <f>ROUND(215.25*(1+AD6)*(1+AD5)+AD7,2)</f>
        <v>0</v>
      </c>
      <c r="AU134" t="str">
        <f>ROUND(227.44*(1+AD6)*(1+AD5)+AD7,2)</f>
        <v>0</v>
      </c>
      <c r="AV134" t="str">
        <f>ROUND(240.16*(1+AD6)*(1+AD5)+AD7,2)</f>
        <v>0</v>
      </c>
      <c r="AW134" t="str">
        <f>ROUND(254.16*(1+AD6)*(1+AD5)+AD7,2)</f>
        <v>0</v>
      </c>
      <c r="AX134" t="str">
        <f>ROUND(266.15*(1+AD6)*(1+AD5)+AD7,2)</f>
        <v>0</v>
      </c>
      <c r="AY134" t="str">
        <f>ROUND(278.53*(1+AD6)*(1+AD5)+AD7,2)</f>
        <v>0</v>
      </c>
      <c r="AZ134" t="str">
        <f>ROUND(290.57*(1+AD6)*(1+AD5)+AD7,2)</f>
        <v>0</v>
      </c>
      <c r="BA134" t="str">
        <f>ROUND(302.87*(1+AD6)*(1+AD5)+AD7,2)</f>
        <v>0</v>
      </c>
      <c r="BB134" t="str">
        <f>ROUND(317.43*(1+AD6)*(1+AD5)+AD7,2)</f>
        <v>0</v>
      </c>
      <c r="BC134" t="str">
        <f>ROUND(332.25*(1+AD6)*(1+AD5)+AD7,2)</f>
        <v>0</v>
      </c>
      <c r="BD134" t="str">
        <f>ROUND(346.29*(1+AD6)*(1+AD5)+AD7,2)</f>
        <v>0</v>
      </c>
      <c r="BE134" t="str">
        <f>ROUND(358.37*(1+AD6)*(1+AD5)+AD7,2)</f>
        <v>0</v>
      </c>
      <c r="BF134" t="str">
        <f>ROUND(369.67*(1+AD6)*(1+AD5)+AD7,2)</f>
        <v>0</v>
      </c>
    </row>
    <row r="135" spans="1:58">
      <c r="B135" s="10"/>
      <c r="C135" s="8">
        <v>2600</v>
      </c>
      <c r="D135">
        <v>95.39</v>
      </c>
      <c r="E135">
        <v>107.97</v>
      </c>
      <c r="F135">
        <v>120.5</v>
      </c>
      <c r="G135">
        <v>133.15</v>
      </c>
      <c r="H135">
        <v>146.58</v>
      </c>
      <c r="I135">
        <v>160.02</v>
      </c>
      <c r="J135">
        <v>173.57</v>
      </c>
      <c r="K135">
        <v>186.44</v>
      </c>
      <c r="L135">
        <v>200.38</v>
      </c>
      <c r="M135">
        <v>213.18</v>
      </c>
      <c r="N135">
        <v>226.02</v>
      </c>
      <c r="O135">
        <v>238.81</v>
      </c>
      <c r="P135">
        <v>252.17</v>
      </c>
      <c r="Q135">
        <v>266.87</v>
      </c>
      <c r="R135">
        <v>279.45</v>
      </c>
      <c r="S135">
        <v>292.45</v>
      </c>
      <c r="T135">
        <v>305.1</v>
      </c>
      <c r="U135">
        <v>318.02</v>
      </c>
      <c r="V135">
        <v>333.3</v>
      </c>
      <c r="W135">
        <v>348.86</v>
      </c>
      <c r="X135">
        <v>363.6</v>
      </c>
      <c r="Y135">
        <v>376.29</v>
      </c>
      <c r="Z135">
        <v>388.16</v>
      </c>
      <c r="AA135"/>
      <c r="AG135" s="9"/>
      <c r="AH135" s="10"/>
      <c r="AI135" s="8">
        <v>2600</v>
      </c>
      <c r="AJ135" t="str">
        <f>ROUND(95.39*(1+AD6)*(1+AD5)+AD7,2)</f>
        <v>0</v>
      </c>
      <c r="AK135" t="str">
        <f>ROUND(107.97*(1+AD6)*(1+AD5)+AD7,2)</f>
        <v>0</v>
      </c>
      <c r="AL135" t="str">
        <f>ROUND(120.5*(1+AD6)*(1+AD5)+AD7,2)</f>
        <v>0</v>
      </c>
      <c r="AM135" t="str">
        <f>ROUND(133.15*(1+AD6)*(1+AD5)+AD7,2)</f>
        <v>0</v>
      </c>
      <c r="AN135" t="str">
        <f>ROUND(146.58*(1+AD6)*(1+AD5)+AD7,2)</f>
        <v>0</v>
      </c>
      <c r="AO135" t="str">
        <f>ROUND(160.02*(1+AD6)*(1+AD5)+AD7,2)</f>
        <v>0</v>
      </c>
      <c r="AP135" t="str">
        <f>ROUND(173.57*(1+AD6)*(1+AD5)+AD7,2)</f>
        <v>0</v>
      </c>
      <c r="AQ135" t="str">
        <f>ROUND(186.44*(1+AD6)*(1+AD5)+AD7,2)</f>
        <v>0</v>
      </c>
      <c r="AR135" t="str">
        <f>ROUND(200.38*(1+AD6)*(1+AD5)+AD7,2)</f>
        <v>0</v>
      </c>
      <c r="AS135" t="str">
        <f>ROUND(213.18*(1+AD6)*(1+AD5)+AD7,2)</f>
        <v>0</v>
      </c>
      <c r="AT135" t="str">
        <f>ROUND(226.02*(1+AD6)*(1+AD5)+AD7,2)</f>
        <v>0</v>
      </c>
      <c r="AU135" t="str">
        <f>ROUND(238.81*(1+AD6)*(1+AD5)+AD7,2)</f>
        <v>0</v>
      </c>
      <c r="AV135" t="str">
        <f>ROUND(252.17*(1+AD6)*(1+AD5)+AD7,2)</f>
        <v>0</v>
      </c>
      <c r="AW135" t="str">
        <f>ROUND(266.87*(1+AD6)*(1+AD5)+AD7,2)</f>
        <v>0</v>
      </c>
      <c r="AX135" t="str">
        <f>ROUND(279.45*(1+AD6)*(1+AD5)+AD7,2)</f>
        <v>0</v>
      </c>
      <c r="AY135" t="str">
        <f>ROUND(292.45*(1+AD6)*(1+AD5)+AD7,2)</f>
        <v>0</v>
      </c>
      <c r="AZ135" t="str">
        <f>ROUND(305.1*(1+AD6)*(1+AD5)+AD7,2)</f>
        <v>0</v>
      </c>
      <c r="BA135" t="str">
        <f>ROUND(318.02*(1+AD6)*(1+AD5)+AD7,2)</f>
        <v>0</v>
      </c>
      <c r="BB135" t="str">
        <f>ROUND(333.3*(1+AD6)*(1+AD5)+AD7,2)</f>
        <v>0</v>
      </c>
      <c r="BC135" t="str">
        <f>ROUND(348.86*(1+AD6)*(1+AD5)+AD7,2)</f>
        <v>0</v>
      </c>
      <c r="BD135" t="str">
        <f>ROUND(363.6*(1+AD6)*(1+AD5)+AD7,2)</f>
        <v>0</v>
      </c>
      <c r="BE135" t="str">
        <f>ROUND(376.29*(1+AD6)*(1+AD5)+AD7,2)</f>
        <v>0</v>
      </c>
      <c r="BF135" t="str">
        <f>ROUND(388.16*(1+AD6)*(1+AD5)+AD7,2)</f>
        <v>0</v>
      </c>
    </row>
    <row r="136" spans="1:58">
      <c r="B136" s="10"/>
      <c r="C136" s="8">
        <v>2700</v>
      </c>
      <c r="D136">
        <v>100.16</v>
      </c>
      <c r="E136">
        <v>113.37</v>
      </c>
      <c r="F136">
        <v>126.53</v>
      </c>
      <c r="G136">
        <v>139.8</v>
      </c>
      <c r="H136">
        <v>153.91</v>
      </c>
      <c r="I136">
        <v>168.03</v>
      </c>
      <c r="J136">
        <v>182.25</v>
      </c>
      <c r="K136">
        <v>195.76</v>
      </c>
      <c r="L136">
        <v>210.39</v>
      </c>
      <c r="M136">
        <v>223.84</v>
      </c>
      <c r="N136">
        <v>237.32</v>
      </c>
      <c r="O136">
        <v>250.75</v>
      </c>
      <c r="P136">
        <v>264.78</v>
      </c>
      <c r="Q136">
        <v>280.22</v>
      </c>
      <c r="R136">
        <v>293.43</v>
      </c>
      <c r="S136">
        <v>307.08</v>
      </c>
      <c r="T136">
        <v>320.35</v>
      </c>
      <c r="U136">
        <v>333.92</v>
      </c>
      <c r="V136">
        <v>349.97</v>
      </c>
      <c r="W136">
        <v>366.31</v>
      </c>
      <c r="X136">
        <v>381.78</v>
      </c>
      <c r="Y136">
        <v>395.11</v>
      </c>
      <c r="Z136">
        <v>407.57</v>
      </c>
      <c r="AA136"/>
      <c r="AG136" s="9"/>
      <c r="AH136" s="10"/>
      <c r="AI136" s="8">
        <v>2700</v>
      </c>
      <c r="AJ136" t="str">
        <f>ROUND(100.16*(1+AD6)*(1+AD5)+AD7,2)</f>
        <v>0</v>
      </c>
      <c r="AK136" t="str">
        <f>ROUND(113.37*(1+AD6)*(1+AD5)+AD7,2)</f>
        <v>0</v>
      </c>
      <c r="AL136" t="str">
        <f>ROUND(126.53*(1+AD6)*(1+AD5)+AD7,2)</f>
        <v>0</v>
      </c>
      <c r="AM136" t="str">
        <f>ROUND(139.8*(1+AD6)*(1+AD5)+AD7,2)</f>
        <v>0</v>
      </c>
      <c r="AN136" t="str">
        <f>ROUND(153.91*(1+AD6)*(1+AD5)+AD7,2)</f>
        <v>0</v>
      </c>
      <c r="AO136" t="str">
        <f>ROUND(168.03*(1+AD6)*(1+AD5)+AD7,2)</f>
        <v>0</v>
      </c>
      <c r="AP136" t="str">
        <f>ROUND(182.25*(1+AD6)*(1+AD5)+AD7,2)</f>
        <v>0</v>
      </c>
      <c r="AQ136" t="str">
        <f>ROUND(195.76*(1+AD6)*(1+AD5)+AD7,2)</f>
        <v>0</v>
      </c>
      <c r="AR136" t="str">
        <f>ROUND(210.39*(1+AD6)*(1+AD5)+AD7,2)</f>
        <v>0</v>
      </c>
      <c r="AS136" t="str">
        <f>ROUND(223.84*(1+AD6)*(1+AD5)+AD7,2)</f>
        <v>0</v>
      </c>
      <c r="AT136" t="str">
        <f>ROUND(237.32*(1+AD6)*(1+AD5)+AD7,2)</f>
        <v>0</v>
      </c>
      <c r="AU136" t="str">
        <f>ROUND(250.75*(1+AD6)*(1+AD5)+AD7,2)</f>
        <v>0</v>
      </c>
      <c r="AV136" t="str">
        <f>ROUND(264.78*(1+AD6)*(1+AD5)+AD7,2)</f>
        <v>0</v>
      </c>
      <c r="AW136" t="str">
        <f>ROUND(280.22*(1+AD6)*(1+AD5)+AD7,2)</f>
        <v>0</v>
      </c>
      <c r="AX136" t="str">
        <f>ROUND(293.43*(1+AD6)*(1+AD5)+AD7,2)</f>
        <v>0</v>
      </c>
      <c r="AY136" t="str">
        <f>ROUND(307.08*(1+AD6)*(1+AD5)+AD7,2)</f>
        <v>0</v>
      </c>
      <c r="AZ136" t="str">
        <f>ROUND(320.35*(1+AD6)*(1+AD5)+AD7,2)</f>
        <v>0</v>
      </c>
      <c r="BA136" t="str">
        <f>ROUND(333.92*(1+AD6)*(1+AD5)+AD7,2)</f>
        <v>0</v>
      </c>
      <c r="BB136" t="str">
        <f>ROUND(349.97*(1+AD6)*(1+AD5)+AD7,2)</f>
        <v>0</v>
      </c>
      <c r="BC136" t="str">
        <f>ROUND(366.31*(1+AD6)*(1+AD5)+AD7,2)</f>
        <v>0</v>
      </c>
      <c r="BD136" t="str">
        <f>ROUND(381.78*(1+AD6)*(1+AD5)+AD7,2)</f>
        <v>0</v>
      </c>
      <c r="BE136" t="str">
        <f>ROUND(395.11*(1+AD6)*(1+AD5)+AD7,2)</f>
        <v>0</v>
      </c>
      <c r="BF136" t="str">
        <f>ROUND(407.57*(1+AD6)*(1+AD5)+AD7,2)</f>
        <v>0</v>
      </c>
    </row>
    <row r="137" spans="1:58">
      <c r="B137" s="10"/>
      <c r="C137" s="8">
        <v>2800</v>
      </c>
      <c r="D137">
        <v>105.16</v>
      </c>
      <c r="E137">
        <v>119.03</v>
      </c>
      <c r="F137">
        <v>132.85</v>
      </c>
      <c r="G137">
        <v>146.79</v>
      </c>
      <c r="H137">
        <v>161.6</v>
      </c>
      <c r="I137">
        <v>176.43</v>
      </c>
      <c r="J137">
        <v>191.36</v>
      </c>
      <c r="K137">
        <v>205.55</v>
      </c>
      <c r="L137">
        <v>220.91</v>
      </c>
      <c r="M137">
        <v>235.03</v>
      </c>
      <c r="N137">
        <v>249.19</v>
      </c>
      <c r="O137">
        <v>263.29</v>
      </c>
      <c r="P137">
        <v>278.02</v>
      </c>
      <c r="Q137">
        <v>294.23</v>
      </c>
      <c r="R137">
        <v>308.1</v>
      </c>
      <c r="S137">
        <v>322.43</v>
      </c>
      <c r="T137">
        <v>336.37</v>
      </c>
      <c r="U137">
        <v>350.62</v>
      </c>
      <c r="V137">
        <v>367.46</v>
      </c>
      <c r="W137">
        <v>384.62</v>
      </c>
      <c r="X137">
        <v>400.87</v>
      </c>
      <c r="Y137">
        <v>414.86</v>
      </c>
      <c r="Z137">
        <v>427.95</v>
      </c>
      <c r="AA137"/>
      <c r="AG137" s="9"/>
      <c r="AH137" s="10"/>
      <c r="AI137" s="8">
        <v>2800</v>
      </c>
      <c r="AJ137" t="str">
        <f>ROUND(105.16*(1+AD6)*(1+AD5)+AD7,2)</f>
        <v>0</v>
      </c>
      <c r="AK137" t="str">
        <f>ROUND(119.03*(1+AD6)*(1+AD5)+AD7,2)</f>
        <v>0</v>
      </c>
      <c r="AL137" t="str">
        <f>ROUND(132.85*(1+AD6)*(1+AD5)+AD7,2)</f>
        <v>0</v>
      </c>
      <c r="AM137" t="str">
        <f>ROUND(146.79*(1+AD6)*(1+AD5)+AD7,2)</f>
        <v>0</v>
      </c>
      <c r="AN137" t="str">
        <f>ROUND(161.6*(1+AD6)*(1+AD5)+AD7,2)</f>
        <v>0</v>
      </c>
      <c r="AO137" t="str">
        <f>ROUND(176.43*(1+AD6)*(1+AD5)+AD7,2)</f>
        <v>0</v>
      </c>
      <c r="AP137" t="str">
        <f>ROUND(191.36*(1+AD6)*(1+AD5)+AD7,2)</f>
        <v>0</v>
      </c>
      <c r="AQ137" t="str">
        <f>ROUND(205.55*(1+AD6)*(1+AD5)+AD7,2)</f>
        <v>0</v>
      </c>
      <c r="AR137" t="str">
        <f>ROUND(220.91*(1+AD6)*(1+AD5)+AD7,2)</f>
        <v>0</v>
      </c>
      <c r="AS137" t="str">
        <f>ROUND(235.03*(1+AD6)*(1+AD5)+AD7,2)</f>
        <v>0</v>
      </c>
      <c r="AT137" t="str">
        <f>ROUND(249.19*(1+AD6)*(1+AD5)+AD7,2)</f>
        <v>0</v>
      </c>
      <c r="AU137" t="str">
        <f>ROUND(263.29*(1+AD6)*(1+AD5)+AD7,2)</f>
        <v>0</v>
      </c>
      <c r="AV137" t="str">
        <f>ROUND(278.02*(1+AD6)*(1+AD5)+AD7,2)</f>
        <v>0</v>
      </c>
      <c r="AW137" t="str">
        <f>ROUND(294.23*(1+AD6)*(1+AD5)+AD7,2)</f>
        <v>0</v>
      </c>
      <c r="AX137" t="str">
        <f>ROUND(308.1*(1+AD6)*(1+AD5)+AD7,2)</f>
        <v>0</v>
      </c>
      <c r="AY137" t="str">
        <f>ROUND(322.43*(1+AD6)*(1+AD5)+AD7,2)</f>
        <v>0</v>
      </c>
      <c r="AZ137" t="str">
        <f>ROUND(336.37*(1+AD6)*(1+AD5)+AD7,2)</f>
        <v>0</v>
      </c>
      <c r="BA137" t="str">
        <f>ROUND(350.62*(1+AD6)*(1+AD5)+AD7,2)</f>
        <v>0</v>
      </c>
      <c r="BB137" t="str">
        <f>ROUND(367.46*(1+AD6)*(1+AD5)+AD7,2)</f>
        <v>0</v>
      </c>
      <c r="BC137" t="str">
        <f>ROUND(384.62*(1+AD6)*(1+AD5)+AD7,2)</f>
        <v>0</v>
      </c>
      <c r="BD137" t="str">
        <f>ROUND(400.87*(1+AD6)*(1+AD5)+AD7,2)</f>
        <v>0</v>
      </c>
      <c r="BE137" t="str">
        <f>ROUND(414.86*(1+AD6)*(1+AD5)+AD7,2)</f>
        <v>0</v>
      </c>
      <c r="BF137" t="str">
        <f>ROUND(427.95*(1+AD6)*(1+AD5)+AD7,2)</f>
        <v>0</v>
      </c>
    </row>
    <row r="138" spans="1:58">
      <c r="B138" s="10"/>
      <c r="C138" s="8">
        <v>2900</v>
      </c>
      <c r="D138">
        <v>110.42</v>
      </c>
      <c r="E138">
        <v>124.99</v>
      </c>
      <c r="F138">
        <v>139.5</v>
      </c>
      <c r="G138">
        <v>154.13</v>
      </c>
      <c r="H138">
        <v>169.68</v>
      </c>
      <c r="I138">
        <v>185.25</v>
      </c>
      <c r="J138">
        <v>200.93</v>
      </c>
      <c r="K138">
        <v>215.83</v>
      </c>
      <c r="L138">
        <v>231.95</v>
      </c>
      <c r="M138">
        <v>246.79</v>
      </c>
      <c r="N138">
        <v>261.65</v>
      </c>
      <c r="O138">
        <v>276.45</v>
      </c>
      <c r="P138">
        <v>291.92</v>
      </c>
      <c r="Q138">
        <v>308.94</v>
      </c>
      <c r="R138">
        <v>323.51</v>
      </c>
      <c r="S138">
        <v>338.55</v>
      </c>
      <c r="T138">
        <v>353.18</v>
      </c>
      <c r="U138">
        <v>368.15</v>
      </c>
      <c r="V138">
        <v>385.84</v>
      </c>
      <c r="W138">
        <v>403.86</v>
      </c>
      <c r="X138">
        <v>420.92</v>
      </c>
      <c r="Y138">
        <v>435.6</v>
      </c>
      <c r="Z138">
        <v>449.35</v>
      </c>
      <c r="AA138"/>
      <c r="AG138" s="9"/>
      <c r="AH138" s="10"/>
      <c r="AI138" s="8">
        <v>2900</v>
      </c>
      <c r="AJ138" t="str">
        <f>ROUND(110.42*(1+AD6)*(1+AD5)+AD7,2)</f>
        <v>0</v>
      </c>
      <c r="AK138" t="str">
        <f>ROUND(124.99*(1+AD6)*(1+AD5)+AD7,2)</f>
        <v>0</v>
      </c>
      <c r="AL138" t="str">
        <f>ROUND(139.5*(1+AD6)*(1+AD5)+AD7,2)</f>
        <v>0</v>
      </c>
      <c r="AM138" t="str">
        <f>ROUND(154.13*(1+AD6)*(1+AD5)+AD7,2)</f>
        <v>0</v>
      </c>
      <c r="AN138" t="str">
        <f>ROUND(169.68*(1+AD6)*(1+AD5)+AD7,2)</f>
        <v>0</v>
      </c>
      <c r="AO138" t="str">
        <f>ROUND(185.25*(1+AD6)*(1+AD5)+AD7,2)</f>
        <v>0</v>
      </c>
      <c r="AP138" t="str">
        <f>ROUND(200.93*(1+AD6)*(1+AD5)+AD7,2)</f>
        <v>0</v>
      </c>
      <c r="AQ138" t="str">
        <f>ROUND(215.83*(1+AD6)*(1+AD5)+AD7,2)</f>
        <v>0</v>
      </c>
      <c r="AR138" t="str">
        <f>ROUND(231.95*(1+AD6)*(1+AD5)+AD7,2)</f>
        <v>0</v>
      </c>
      <c r="AS138" t="str">
        <f>ROUND(246.79*(1+AD6)*(1+AD5)+AD7,2)</f>
        <v>0</v>
      </c>
      <c r="AT138" t="str">
        <f>ROUND(261.65*(1+AD6)*(1+AD5)+AD7,2)</f>
        <v>0</v>
      </c>
      <c r="AU138" t="str">
        <f>ROUND(276.45*(1+AD6)*(1+AD5)+AD7,2)</f>
        <v>0</v>
      </c>
      <c r="AV138" t="str">
        <f>ROUND(291.92*(1+AD6)*(1+AD5)+AD7,2)</f>
        <v>0</v>
      </c>
      <c r="AW138" t="str">
        <f>ROUND(308.94*(1+AD6)*(1+AD5)+AD7,2)</f>
        <v>0</v>
      </c>
      <c r="AX138" t="str">
        <f>ROUND(323.51*(1+AD6)*(1+AD5)+AD7,2)</f>
        <v>0</v>
      </c>
      <c r="AY138" t="str">
        <f>ROUND(338.55*(1+AD6)*(1+AD5)+AD7,2)</f>
        <v>0</v>
      </c>
      <c r="AZ138" t="str">
        <f>ROUND(353.18*(1+AD6)*(1+AD5)+AD7,2)</f>
        <v>0</v>
      </c>
      <c r="BA138" t="str">
        <f>ROUND(368.15*(1+AD6)*(1+AD5)+AD7,2)</f>
        <v>0</v>
      </c>
      <c r="BB138" t="str">
        <f>ROUND(385.84*(1+AD6)*(1+AD5)+AD7,2)</f>
        <v>0</v>
      </c>
      <c r="BC138" t="str">
        <f>ROUND(403.86*(1+AD6)*(1+AD5)+AD7,2)</f>
        <v>0</v>
      </c>
      <c r="BD138" t="str">
        <f>ROUND(420.92*(1+AD6)*(1+AD5)+AD7,2)</f>
        <v>0</v>
      </c>
      <c r="BE138" t="str">
        <f>ROUND(435.6*(1+AD6)*(1+AD5)+AD7,2)</f>
        <v>0</v>
      </c>
      <c r="BF138" t="str">
        <f>ROUND(449.35*(1+AD6)*(1+AD5)+AD7,2)</f>
        <v>0</v>
      </c>
    </row>
    <row r="139" spans="1:58">
      <c r="B139" s="10"/>
      <c r="C139" s="8">
        <v>3000</v>
      </c>
      <c r="D139">
        <v>115.94</v>
      </c>
      <c r="E139">
        <v>131.24</v>
      </c>
      <c r="F139">
        <v>146.47</v>
      </c>
      <c r="G139">
        <v>161.84</v>
      </c>
      <c r="H139">
        <v>178.17</v>
      </c>
      <c r="I139">
        <v>194.51</v>
      </c>
      <c r="J139">
        <v>210.98</v>
      </c>
      <c r="K139">
        <v>226.62</v>
      </c>
      <c r="L139">
        <v>243.55</v>
      </c>
      <c r="M139">
        <v>259.12</v>
      </c>
      <c r="N139">
        <v>274.74</v>
      </c>
      <c r="O139">
        <v>290.28</v>
      </c>
      <c r="P139">
        <v>306.52</v>
      </c>
      <c r="Q139">
        <v>324.38</v>
      </c>
      <c r="R139">
        <v>339.68</v>
      </c>
      <c r="S139">
        <v>355.48</v>
      </c>
      <c r="T139">
        <v>370.84</v>
      </c>
      <c r="U139">
        <v>386.56</v>
      </c>
      <c r="V139">
        <v>405.13</v>
      </c>
      <c r="W139">
        <v>424.05</v>
      </c>
      <c r="X139">
        <v>441.97</v>
      </c>
      <c r="Y139">
        <v>457.39</v>
      </c>
      <c r="Z139">
        <v>471.82</v>
      </c>
      <c r="AA139"/>
      <c r="AG139" s="9"/>
      <c r="AH139" s="10"/>
      <c r="AI139" s="8">
        <v>3000</v>
      </c>
      <c r="AJ139" t="str">
        <f>ROUND(115.94*(1+AD6)*(1+AD5)+AD7,2)</f>
        <v>0</v>
      </c>
      <c r="AK139" t="str">
        <f>ROUND(131.24*(1+AD6)*(1+AD5)+AD7,2)</f>
        <v>0</v>
      </c>
      <c r="AL139" t="str">
        <f>ROUND(146.47*(1+AD6)*(1+AD5)+AD7,2)</f>
        <v>0</v>
      </c>
      <c r="AM139" t="str">
        <f>ROUND(161.84*(1+AD6)*(1+AD5)+AD7,2)</f>
        <v>0</v>
      </c>
      <c r="AN139" t="str">
        <f>ROUND(178.17*(1+AD6)*(1+AD5)+AD7,2)</f>
        <v>0</v>
      </c>
      <c r="AO139" t="str">
        <f>ROUND(194.51*(1+AD6)*(1+AD5)+AD7,2)</f>
        <v>0</v>
      </c>
      <c r="AP139" t="str">
        <f>ROUND(210.98*(1+AD6)*(1+AD5)+AD7,2)</f>
        <v>0</v>
      </c>
      <c r="AQ139" t="str">
        <f>ROUND(226.62*(1+AD6)*(1+AD5)+AD7,2)</f>
        <v>0</v>
      </c>
      <c r="AR139" t="str">
        <f>ROUND(243.55*(1+AD6)*(1+AD5)+AD7,2)</f>
        <v>0</v>
      </c>
      <c r="AS139" t="str">
        <f>ROUND(259.12*(1+AD6)*(1+AD5)+AD7,2)</f>
        <v>0</v>
      </c>
      <c r="AT139" t="str">
        <f>ROUND(274.74*(1+AD6)*(1+AD5)+AD7,2)</f>
        <v>0</v>
      </c>
      <c r="AU139" t="str">
        <f>ROUND(290.28*(1+AD6)*(1+AD5)+AD7,2)</f>
        <v>0</v>
      </c>
      <c r="AV139" t="str">
        <f>ROUND(306.52*(1+AD6)*(1+AD5)+AD7,2)</f>
        <v>0</v>
      </c>
      <c r="AW139" t="str">
        <f>ROUND(324.38*(1+AD6)*(1+AD5)+AD7,2)</f>
        <v>0</v>
      </c>
      <c r="AX139" t="str">
        <f>ROUND(339.68*(1+AD6)*(1+AD5)+AD7,2)</f>
        <v>0</v>
      </c>
      <c r="AY139" t="str">
        <f>ROUND(355.48*(1+AD6)*(1+AD5)+AD7,2)</f>
        <v>0</v>
      </c>
      <c r="AZ139" t="str">
        <f>ROUND(370.84*(1+AD6)*(1+AD5)+AD7,2)</f>
        <v>0</v>
      </c>
      <c r="BA139" t="str">
        <f>ROUND(386.56*(1+AD6)*(1+AD5)+AD7,2)</f>
        <v>0</v>
      </c>
      <c r="BB139" t="str">
        <f>ROUND(405.13*(1+AD6)*(1+AD5)+AD7,2)</f>
        <v>0</v>
      </c>
      <c r="BC139" t="str">
        <f>ROUND(424.05*(1+AD6)*(1+AD5)+AD7,2)</f>
        <v>0</v>
      </c>
      <c r="BD139" t="str">
        <f>ROUND(441.97*(1+AD6)*(1+AD5)+AD7,2)</f>
        <v>0</v>
      </c>
      <c r="BE139" t="str">
        <f>ROUND(457.39*(1+AD6)*(1+AD5)+AD7,2)</f>
        <v>0</v>
      </c>
      <c r="BF139" t="str">
        <f>ROUND(471.82*(1+AD6)*(1+AD5)+AD7,2)</f>
        <v>0</v>
      </c>
    </row>
  </sheetData>
  <mergeCells>
    <mergeCell ref="C8:Z8"/>
    <mergeCell ref="AA8:AH8"/>
    <mergeCell ref="AI8:BF8"/>
    <mergeCell ref="C9:Z9"/>
    <mergeCell ref="AA9:AG9"/>
    <mergeCell ref="AI9:BF9"/>
    <mergeCell ref="C11:Z11"/>
    <mergeCell ref="AA11:AG11"/>
    <mergeCell ref="AI11:BF11"/>
    <mergeCell ref="C12:Z12"/>
    <mergeCell ref="AA12:AG12"/>
    <mergeCell ref="AI12:BF12"/>
    <mergeCell ref="C13:Z13"/>
    <mergeCell ref="AA13:AG13"/>
    <mergeCell ref="AI13:BF13"/>
    <mergeCell ref="AA14:AG14"/>
    <mergeCell ref="B15:B35"/>
    <mergeCell ref="AA15:AG15"/>
    <mergeCell ref="AH15:AH35"/>
    <mergeCell ref="AA16:AG16"/>
    <mergeCell ref="AA17:AG17"/>
    <mergeCell ref="AA18:AG18"/>
    <mergeCell ref="AA19:AG19"/>
    <mergeCell ref="AA20:AG20"/>
    <mergeCell ref="AA21:AG21"/>
    <mergeCell ref="AA22:AG22"/>
    <mergeCell ref="AA23:AG23"/>
    <mergeCell ref="AA24:AG24"/>
    <mergeCell ref="AA25:AG25"/>
    <mergeCell ref="AA26:AG26"/>
    <mergeCell ref="AA27:AG27"/>
    <mergeCell ref="AA28:AG28"/>
    <mergeCell ref="AA29:AG29"/>
    <mergeCell ref="AA30:AG30"/>
    <mergeCell ref="AA31:AG31"/>
    <mergeCell ref="AA32:AG32"/>
    <mergeCell ref="AA33:AG33"/>
    <mergeCell ref="AA34:AG34"/>
    <mergeCell ref="AA35:AG35"/>
    <mergeCell ref="C37:Z37"/>
    <mergeCell ref="AA37:AG37"/>
    <mergeCell ref="AI37:BF37"/>
    <mergeCell ref="C38:Z38"/>
    <mergeCell ref="AA38:AG38"/>
    <mergeCell ref="AI38:BF38"/>
    <mergeCell ref="C39:Z39"/>
    <mergeCell ref="AA39:AG39"/>
    <mergeCell ref="AI39:BF39"/>
    <mergeCell ref="AA40:AG40"/>
    <mergeCell ref="B41:B61"/>
    <mergeCell ref="AA41:AG41"/>
    <mergeCell ref="AH41:AH61"/>
    <mergeCell ref="AA42:AG42"/>
    <mergeCell ref="AA43:AG43"/>
    <mergeCell ref="AA44:AG44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AA53:AG53"/>
    <mergeCell ref="AA54:AG54"/>
    <mergeCell ref="AA55:AG55"/>
    <mergeCell ref="AA56:AG56"/>
    <mergeCell ref="AA57:AG57"/>
    <mergeCell ref="AA58:AG58"/>
    <mergeCell ref="AA59:AG59"/>
    <mergeCell ref="AA60:AG60"/>
    <mergeCell ref="AA61:AG61"/>
    <mergeCell ref="C63:Z63"/>
    <mergeCell ref="AA63:AG63"/>
    <mergeCell ref="AI63:BF63"/>
    <mergeCell ref="C64:Z64"/>
    <mergeCell ref="AA64:AG64"/>
    <mergeCell ref="AI64:BF64"/>
    <mergeCell ref="C65:Z65"/>
    <mergeCell ref="AA65:AG65"/>
    <mergeCell ref="AI65:BF65"/>
    <mergeCell ref="AA66:AG66"/>
    <mergeCell ref="B67:B87"/>
    <mergeCell ref="AA67:AG67"/>
    <mergeCell ref="AH67:AH87"/>
    <mergeCell ref="AA68:AG68"/>
    <mergeCell ref="AA69:AG69"/>
    <mergeCell ref="AA70:AG70"/>
    <mergeCell ref="AA71:AG71"/>
    <mergeCell ref="AA72:AG72"/>
    <mergeCell ref="AA73:AG73"/>
    <mergeCell ref="AA74:AG74"/>
    <mergeCell ref="AA75:AG75"/>
    <mergeCell ref="AA76:AG76"/>
    <mergeCell ref="AA77:AG77"/>
    <mergeCell ref="AA78:AG78"/>
    <mergeCell ref="AA79:AG79"/>
    <mergeCell ref="AA80:AG80"/>
    <mergeCell ref="AA81:AG81"/>
    <mergeCell ref="AA82:AG82"/>
    <mergeCell ref="AA83:AG83"/>
    <mergeCell ref="AA84:AG84"/>
    <mergeCell ref="AA85:AG85"/>
    <mergeCell ref="AA86:AG86"/>
    <mergeCell ref="AA87:AG87"/>
    <mergeCell ref="C89:Z89"/>
    <mergeCell ref="AA89:AG89"/>
    <mergeCell ref="AI89:BF89"/>
    <mergeCell ref="C90:Z90"/>
    <mergeCell ref="AA90:AG90"/>
    <mergeCell ref="AI90:BF90"/>
    <mergeCell ref="C91:Z91"/>
    <mergeCell ref="AA91:AG91"/>
    <mergeCell ref="AI91:BF91"/>
    <mergeCell ref="AA92:AG92"/>
    <mergeCell ref="B93:B113"/>
    <mergeCell ref="AA93:AG93"/>
    <mergeCell ref="AH93:AH113"/>
    <mergeCell ref="AA94:AG94"/>
    <mergeCell ref="AA95:AG95"/>
    <mergeCell ref="AA96:AG96"/>
    <mergeCell ref="AA97:AG97"/>
    <mergeCell ref="AA98:AG98"/>
    <mergeCell ref="AA99:AG99"/>
    <mergeCell ref="AA100:AG100"/>
    <mergeCell ref="AA101:AG101"/>
    <mergeCell ref="AA102:AG102"/>
    <mergeCell ref="AA103:AG103"/>
    <mergeCell ref="AA104:AG104"/>
    <mergeCell ref="AA105:AG105"/>
    <mergeCell ref="AA106:AG106"/>
    <mergeCell ref="AA107:AG107"/>
    <mergeCell ref="AA108:AG108"/>
    <mergeCell ref="AA109:AG109"/>
    <mergeCell ref="AA110:AG110"/>
    <mergeCell ref="AA111:AG111"/>
    <mergeCell ref="AA112:AG112"/>
    <mergeCell ref="AA113:AG113"/>
    <mergeCell ref="C115:Z115"/>
    <mergeCell ref="AA115:AG115"/>
    <mergeCell ref="AI115:BF115"/>
    <mergeCell ref="C116:Z116"/>
    <mergeCell ref="AA116:AG116"/>
    <mergeCell ref="AI116:BF116"/>
    <mergeCell ref="C117:Z117"/>
    <mergeCell ref="AA117:AG117"/>
    <mergeCell ref="AI117:BF117"/>
    <mergeCell ref="AA118:AG118"/>
    <mergeCell ref="B119:B139"/>
    <mergeCell ref="AA119:AG119"/>
    <mergeCell ref="AH119:AH139"/>
    <mergeCell ref="AA120:AG120"/>
    <mergeCell ref="AA121:AG121"/>
    <mergeCell ref="AA122:AG122"/>
    <mergeCell ref="AA123:AG123"/>
    <mergeCell ref="AA124:AG124"/>
    <mergeCell ref="AA125:AG125"/>
    <mergeCell ref="AA126:AG126"/>
    <mergeCell ref="AA127:AG127"/>
    <mergeCell ref="AA128:AG128"/>
    <mergeCell ref="AA129:AG129"/>
    <mergeCell ref="AA130:AG130"/>
    <mergeCell ref="AA131:AG131"/>
    <mergeCell ref="AA132:AG132"/>
    <mergeCell ref="AA133:AG133"/>
    <mergeCell ref="AA134:AG134"/>
    <mergeCell ref="AA135:AG135"/>
    <mergeCell ref="AA136:AG136"/>
    <mergeCell ref="AA137:AG137"/>
    <mergeCell ref="AA138:AG138"/>
    <mergeCell ref="AA139:AG1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Cruze Fascia 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2026-07-07T15:12:51+00:00</dcterms:created>
  <dcterms:modified xsi:type="dcterms:W3CDTF">2026-07-07T15:12:51+00:00</dcterms:modified>
  <dc:title>Cruze Fascia Softshade Price List</dc:title>
  <dc:description/>
  <dc:subject/>
  <cp:keywords/>
  <cp:category/>
</cp:coreProperties>
</file>